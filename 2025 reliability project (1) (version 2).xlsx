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2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3.xml" ContentType="application/vnd.openxmlformats-officedocument.drawing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34ne\Desktop\Ariel University\Courses\Reliability in Microelectronics\Project\"/>
    </mc:Choice>
  </mc:AlternateContent>
  <xr:revisionPtr revIDLastSave="0" documentId="13_ncr:1_{4F74A9B0-CBE9-45C0-BC11-2B50DD51688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ilicon_TTF" sheetId="1" r:id="rId1"/>
    <sheet name="GaN_Rds" sheetId="2" r:id="rId2"/>
    <sheet name="Reliability R(t)" sheetId="4" r:id="rId3"/>
  </sheets>
  <definedNames>
    <definedName name="solver_adj" localSheetId="1" hidden="1">GaN_Rds!$C$127</definedName>
    <definedName name="solver_adj" localSheetId="0" hidden="1">Silicon_TTF!$E$114</definedName>
    <definedName name="solver_cvg" localSheetId="1" hidden="1">0.0001</definedName>
    <definedName name="solver_cvg" localSheetId="0" hidden="1">0.0001</definedName>
    <definedName name="solver_drv" localSheetId="1" hidden="1">1</definedName>
    <definedName name="solver_drv" localSheetId="0" hidden="1">2</definedName>
    <definedName name="solver_eng" localSheetId="1" hidden="1">1</definedName>
    <definedName name="solver_eng" localSheetId="0" hidden="1">1</definedName>
    <definedName name="solver_est" localSheetId="1" hidden="1">1</definedName>
    <definedName name="solver_est" localSheetId="0" hidden="1">1</definedName>
    <definedName name="solver_itr" localSheetId="1" hidden="1">2147483647</definedName>
    <definedName name="solver_itr" localSheetId="0" hidden="1">2147483647</definedName>
    <definedName name="solver_lhs1" localSheetId="1" hidden="1">GaN_Rds!$C$127</definedName>
    <definedName name="solver_lhs1" localSheetId="0" hidden="1">Silicon_TTF!$E$114</definedName>
    <definedName name="solver_mip" localSheetId="1" hidden="1">2147483647</definedName>
    <definedName name="solver_mip" localSheetId="0" hidden="1">2147483647</definedName>
    <definedName name="solver_mni" localSheetId="1" hidden="1">30</definedName>
    <definedName name="solver_mni" localSheetId="0" hidden="1">30</definedName>
    <definedName name="solver_mrt" localSheetId="1" hidden="1">0.075</definedName>
    <definedName name="solver_mrt" localSheetId="0" hidden="1">0.075</definedName>
    <definedName name="solver_msl" localSheetId="1" hidden="1">2</definedName>
    <definedName name="solver_msl" localSheetId="0" hidden="1">2</definedName>
    <definedName name="solver_neg" localSheetId="1" hidden="1">1</definedName>
    <definedName name="solver_neg" localSheetId="0" hidden="1">1</definedName>
    <definedName name="solver_nod" localSheetId="1" hidden="1">2147483647</definedName>
    <definedName name="solver_nod" localSheetId="0" hidden="1">2147483647</definedName>
    <definedName name="solver_num" localSheetId="1" hidden="1">1</definedName>
    <definedName name="solver_num" localSheetId="0" hidden="1">1</definedName>
    <definedName name="solver_nwt" localSheetId="1" hidden="1">1</definedName>
    <definedName name="solver_nwt" localSheetId="0" hidden="1">1</definedName>
    <definedName name="solver_opt" localSheetId="1" hidden="1">GaN_Rds!$I$123</definedName>
    <definedName name="solver_opt" localSheetId="0" hidden="1">Silicon_TTF!$I$111</definedName>
    <definedName name="solver_pre" localSheetId="1" hidden="1">0.000001</definedName>
    <definedName name="solver_pre" localSheetId="0" hidden="1">0.000001</definedName>
    <definedName name="solver_rbv" localSheetId="1" hidden="1">1</definedName>
    <definedName name="solver_rbv" localSheetId="0" hidden="1">2</definedName>
    <definedName name="solver_rel1" localSheetId="1" hidden="1">3</definedName>
    <definedName name="solver_rel1" localSheetId="0" hidden="1">3</definedName>
    <definedName name="solver_rhs1" localSheetId="1" hidden="1">0</definedName>
    <definedName name="solver_rhs1" localSheetId="0" hidden="1">0</definedName>
    <definedName name="solver_rlx" localSheetId="1" hidden="1">2</definedName>
    <definedName name="solver_rlx" localSheetId="0" hidden="1">2</definedName>
    <definedName name="solver_rsd" localSheetId="1" hidden="1">0</definedName>
    <definedName name="solver_rsd" localSheetId="0" hidden="1">0</definedName>
    <definedName name="solver_scl" localSheetId="1" hidden="1">1</definedName>
    <definedName name="solver_scl" localSheetId="0" hidden="1">2</definedName>
    <definedName name="solver_sho" localSheetId="1" hidden="1">2</definedName>
    <definedName name="solver_sho" localSheetId="0" hidden="1">2</definedName>
    <definedName name="solver_ssz" localSheetId="1" hidden="1">100</definedName>
    <definedName name="solver_ssz" localSheetId="0" hidden="1">100</definedName>
    <definedName name="solver_tim" localSheetId="1" hidden="1">2147483647</definedName>
    <definedName name="solver_tim" localSheetId="0" hidden="1">2147483647</definedName>
    <definedName name="solver_tol" localSheetId="1" hidden="1">0.01</definedName>
    <definedName name="solver_tol" localSheetId="0" hidden="1">0.01</definedName>
    <definedName name="solver_typ" localSheetId="1" hidden="1">2</definedName>
    <definedName name="solver_typ" localSheetId="0" hidden="1">2</definedName>
    <definedName name="solver_val" localSheetId="1" hidden="1">0</definedName>
    <definedName name="solver_val" localSheetId="0" hidden="1">0</definedName>
    <definedName name="solver_ver" localSheetId="1" hidden="1">3</definedName>
    <definedName name="solver_ver" localSheetId="0" hidden="1">3</definedName>
    <definedName name="t">'Reliability R(t)'!$B$22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3" i="1" l="1"/>
  <c r="H103" i="1"/>
  <c r="H104" i="1"/>
  <c r="H105" i="1"/>
  <c r="H106" i="1"/>
  <c r="H107" i="1"/>
  <c r="H108" i="1"/>
  <c r="H109" i="1"/>
  <c r="H110" i="1"/>
  <c r="H102" i="1"/>
  <c r="K102" i="1"/>
  <c r="L102" i="1"/>
  <c r="K103" i="1"/>
  <c r="L103" i="1"/>
  <c r="K104" i="1"/>
  <c r="L104" i="1"/>
  <c r="K105" i="1"/>
  <c r="L105" i="1"/>
  <c r="K106" i="1"/>
  <c r="L106" i="1"/>
  <c r="K107" i="1"/>
  <c r="L107" i="1"/>
  <c r="K108" i="1"/>
  <c r="L108" i="1"/>
  <c r="K109" i="1"/>
  <c r="L109" i="1"/>
  <c r="K110" i="1"/>
  <c r="L110" i="1"/>
  <c r="L111" i="1"/>
  <c r="I102" i="1"/>
  <c r="I103" i="1"/>
  <c r="I104" i="1"/>
  <c r="I105" i="1"/>
  <c r="I106" i="1"/>
  <c r="I107" i="1"/>
  <c r="I108" i="1"/>
  <c r="I109" i="1"/>
  <c r="I110" i="1"/>
  <c r="I111" i="1"/>
  <c r="H88" i="1"/>
  <c r="I88" i="1"/>
  <c r="K3" i="4"/>
  <c r="AA10" i="4" a="1"/>
  <c r="AA10" i="4"/>
  <c r="AX10" i="4"/>
  <c r="AX37" i="4"/>
  <c r="AB10" i="4" a="1"/>
  <c r="AB10" i="4"/>
  <c r="AY10" i="4"/>
  <c r="AY37" i="4"/>
  <c r="AC10" i="4" a="1"/>
  <c r="AC10" i="4"/>
  <c r="AZ10" i="4"/>
  <c r="AZ37" i="4"/>
  <c r="AD10" i="4" a="1"/>
  <c r="AD10" i="4"/>
  <c r="BA10" i="4"/>
  <c r="BA37" i="4"/>
  <c r="AE10" i="4" a="1"/>
  <c r="AE10" i="4"/>
  <c r="BB10" i="4"/>
  <c r="BB37" i="4"/>
  <c r="AF10" i="4" a="1"/>
  <c r="AF10" i="4"/>
  <c r="BC10" i="4"/>
  <c r="BC37" i="4"/>
  <c r="AG10" i="4" a="1"/>
  <c r="AG10" i="4"/>
  <c r="BD10" i="4"/>
  <c r="BD37" i="4"/>
  <c r="AH10" i="4" a="1"/>
  <c r="AH10" i="4"/>
  <c r="BE10" i="4"/>
  <c r="BE37" i="4"/>
  <c r="AI10" i="4" a="1"/>
  <c r="AI10" i="4"/>
  <c r="BF10" i="4"/>
  <c r="BF37" i="4"/>
  <c r="AJ10" i="4" a="1"/>
  <c r="AJ10" i="4"/>
  <c r="BG10" i="4"/>
  <c r="BG37" i="4"/>
  <c r="AK10" i="4" a="1"/>
  <c r="AK10" i="4"/>
  <c r="BH10" i="4"/>
  <c r="BH37" i="4"/>
  <c r="AL10" i="4" a="1"/>
  <c r="AL10" i="4"/>
  <c r="BI10" i="4"/>
  <c r="BI37" i="4"/>
  <c r="AM10" i="4" a="1"/>
  <c r="AM10" i="4"/>
  <c r="BJ10" i="4"/>
  <c r="BJ37" i="4"/>
  <c r="AN10" i="4" a="1"/>
  <c r="AN10" i="4"/>
  <c r="BK10" i="4"/>
  <c r="BK37" i="4"/>
  <c r="AO10" i="4" a="1"/>
  <c r="AO10" i="4"/>
  <c r="BL10" i="4"/>
  <c r="BL37" i="4"/>
  <c r="AP10" i="4" a="1"/>
  <c r="AP10" i="4"/>
  <c r="BM10" i="4"/>
  <c r="BM37" i="4"/>
  <c r="AQ10" i="4" a="1"/>
  <c r="AQ10" i="4"/>
  <c r="BN10" i="4"/>
  <c r="BN37" i="4"/>
  <c r="AR10" i="4" a="1"/>
  <c r="AR10" i="4"/>
  <c r="BO10" i="4"/>
  <c r="BO37" i="4"/>
  <c r="AS10" i="4" a="1"/>
  <c r="AS10" i="4"/>
  <c r="BP10" i="4"/>
  <c r="BP37" i="4"/>
  <c r="AT10" i="4" a="1"/>
  <c r="AT10" i="4"/>
  <c r="BQ10" i="4"/>
  <c r="BQ37" i="4"/>
  <c r="AX11" i="4"/>
  <c r="AX38" i="4"/>
  <c r="AY11" i="4"/>
  <c r="AY38" i="4"/>
  <c r="AZ11" i="4"/>
  <c r="AZ38" i="4"/>
  <c r="BA11" i="4"/>
  <c r="BA38" i="4"/>
  <c r="BB11" i="4"/>
  <c r="BB38" i="4"/>
  <c r="BC11" i="4"/>
  <c r="BC38" i="4"/>
  <c r="BD11" i="4"/>
  <c r="BD38" i="4"/>
  <c r="BE11" i="4"/>
  <c r="BE38" i="4"/>
  <c r="BF11" i="4"/>
  <c r="BF38" i="4"/>
  <c r="BG11" i="4"/>
  <c r="BG38" i="4"/>
  <c r="BH11" i="4"/>
  <c r="BH38" i="4"/>
  <c r="BI11" i="4"/>
  <c r="BI38" i="4"/>
  <c r="BJ11" i="4"/>
  <c r="BJ38" i="4"/>
  <c r="BK11" i="4"/>
  <c r="BK38" i="4"/>
  <c r="BL11" i="4"/>
  <c r="BL38" i="4"/>
  <c r="BM11" i="4"/>
  <c r="BM38" i="4"/>
  <c r="BN11" i="4"/>
  <c r="BN38" i="4"/>
  <c r="BO11" i="4"/>
  <c r="BO38" i="4"/>
  <c r="BP11" i="4"/>
  <c r="BP38" i="4"/>
  <c r="BQ11" i="4"/>
  <c r="BQ38" i="4"/>
  <c r="AX12" i="4"/>
  <c r="AX39" i="4"/>
  <c r="AY12" i="4"/>
  <c r="AY39" i="4"/>
  <c r="AZ12" i="4"/>
  <c r="AZ39" i="4"/>
  <c r="BA12" i="4"/>
  <c r="BA39" i="4"/>
  <c r="BB12" i="4"/>
  <c r="BB39" i="4"/>
  <c r="BC12" i="4"/>
  <c r="BC39" i="4"/>
  <c r="BD12" i="4"/>
  <c r="BD39" i="4"/>
  <c r="BE12" i="4"/>
  <c r="BE39" i="4"/>
  <c r="BF12" i="4"/>
  <c r="BF39" i="4"/>
  <c r="BG12" i="4"/>
  <c r="BG39" i="4"/>
  <c r="BH12" i="4"/>
  <c r="BH39" i="4"/>
  <c r="BI12" i="4"/>
  <c r="BI39" i="4"/>
  <c r="BJ12" i="4"/>
  <c r="BJ39" i="4"/>
  <c r="BK12" i="4"/>
  <c r="BK39" i="4"/>
  <c r="BL12" i="4"/>
  <c r="BL39" i="4"/>
  <c r="BM12" i="4"/>
  <c r="BM39" i="4"/>
  <c r="BN12" i="4"/>
  <c r="BN39" i="4"/>
  <c r="BO12" i="4"/>
  <c r="BO39" i="4"/>
  <c r="BP12" i="4"/>
  <c r="BP39" i="4"/>
  <c r="BQ12" i="4"/>
  <c r="BQ39" i="4"/>
  <c r="AX13" i="4"/>
  <c r="AX40" i="4"/>
  <c r="AY13" i="4"/>
  <c r="AY40" i="4"/>
  <c r="AZ13" i="4"/>
  <c r="AZ40" i="4"/>
  <c r="BA13" i="4"/>
  <c r="BA40" i="4"/>
  <c r="BB13" i="4"/>
  <c r="BB40" i="4"/>
  <c r="BC13" i="4"/>
  <c r="BC40" i="4"/>
  <c r="BD13" i="4"/>
  <c r="BD40" i="4"/>
  <c r="BE13" i="4"/>
  <c r="BE40" i="4"/>
  <c r="BF13" i="4"/>
  <c r="BF40" i="4"/>
  <c r="BG13" i="4"/>
  <c r="BG40" i="4"/>
  <c r="BH13" i="4"/>
  <c r="BH40" i="4"/>
  <c r="BI13" i="4"/>
  <c r="BI40" i="4"/>
  <c r="BJ13" i="4"/>
  <c r="BJ40" i="4"/>
  <c r="BK13" i="4"/>
  <c r="BK40" i="4"/>
  <c r="BL13" i="4"/>
  <c r="BL40" i="4"/>
  <c r="BM13" i="4"/>
  <c r="BM40" i="4"/>
  <c r="BN13" i="4"/>
  <c r="BN40" i="4"/>
  <c r="BO13" i="4"/>
  <c r="BO40" i="4"/>
  <c r="BP13" i="4"/>
  <c r="BP40" i="4"/>
  <c r="BQ13" i="4"/>
  <c r="BQ40" i="4"/>
  <c r="AX14" i="4"/>
  <c r="AX41" i="4"/>
  <c r="AY14" i="4"/>
  <c r="AY41" i="4"/>
  <c r="AZ14" i="4"/>
  <c r="AZ41" i="4"/>
  <c r="BA14" i="4"/>
  <c r="BA41" i="4"/>
  <c r="BB14" i="4"/>
  <c r="BB41" i="4"/>
  <c r="BC14" i="4"/>
  <c r="BC41" i="4"/>
  <c r="BD14" i="4"/>
  <c r="BD41" i="4"/>
  <c r="BE14" i="4"/>
  <c r="BE41" i="4"/>
  <c r="BF14" i="4"/>
  <c r="BF41" i="4"/>
  <c r="BG14" i="4"/>
  <c r="BG41" i="4"/>
  <c r="BH14" i="4"/>
  <c r="BH41" i="4"/>
  <c r="BI14" i="4"/>
  <c r="BI41" i="4"/>
  <c r="BJ14" i="4"/>
  <c r="BJ41" i="4"/>
  <c r="BK14" i="4"/>
  <c r="BK41" i="4"/>
  <c r="BL14" i="4"/>
  <c r="BL41" i="4"/>
  <c r="BM14" i="4"/>
  <c r="BM41" i="4"/>
  <c r="BN14" i="4"/>
  <c r="BN41" i="4"/>
  <c r="BO14" i="4"/>
  <c r="BO41" i="4"/>
  <c r="BP14" i="4"/>
  <c r="BP41" i="4"/>
  <c r="BQ14" i="4"/>
  <c r="BQ41" i="4"/>
  <c r="AX15" i="4"/>
  <c r="AX42" i="4"/>
  <c r="AY15" i="4"/>
  <c r="AY42" i="4"/>
  <c r="AZ15" i="4"/>
  <c r="AZ42" i="4"/>
  <c r="BA15" i="4"/>
  <c r="BA42" i="4"/>
  <c r="BB15" i="4"/>
  <c r="BB42" i="4"/>
  <c r="BC15" i="4"/>
  <c r="BC42" i="4"/>
  <c r="BD15" i="4"/>
  <c r="BD42" i="4"/>
  <c r="BE15" i="4"/>
  <c r="BE42" i="4"/>
  <c r="BF15" i="4"/>
  <c r="BF42" i="4"/>
  <c r="BG15" i="4"/>
  <c r="BG42" i="4"/>
  <c r="BH15" i="4"/>
  <c r="BH42" i="4"/>
  <c r="BI15" i="4"/>
  <c r="BI42" i="4"/>
  <c r="BJ15" i="4"/>
  <c r="BJ42" i="4"/>
  <c r="BK15" i="4"/>
  <c r="BK42" i="4"/>
  <c r="BL15" i="4"/>
  <c r="BL42" i="4"/>
  <c r="BM15" i="4"/>
  <c r="BM42" i="4"/>
  <c r="BN15" i="4"/>
  <c r="BN42" i="4"/>
  <c r="BO15" i="4"/>
  <c r="BO42" i="4"/>
  <c r="BP15" i="4"/>
  <c r="BP42" i="4"/>
  <c r="BQ15" i="4"/>
  <c r="BQ42" i="4"/>
  <c r="AX16" i="4"/>
  <c r="AX43" i="4"/>
  <c r="AY16" i="4"/>
  <c r="AY43" i="4"/>
  <c r="AZ16" i="4"/>
  <c r="AZ43" i="4"/>
  <c r="BA16" i="4"/>
  <c r="BA43" i="4"/>
  <c r="BB16" i="4"/>
  <c r="BB43" i="4"/>
  <c r="BC16" i="4"/>
  <c r="BC43" i="4"/>
  <c r="BD16" i="4"/>
  <c r="BD43" i="4"/>
  <c r="BE16" i="4"/>
  <c r="BE43" i="4"/>
  <c r="BF16" i="4"/>
  <c r="BF43" i="4"/>
  <c r="BG16" i="4"/>
  <c r="BG43" i="4"/>
  <c r="BH16" i="4"/>
  <c r="BH43" i="4"/>
  <c r="BI16" i="4"/>
  <c r="BI43" i="4"/>
  <c r="BJ16" i="4"/>
  <c r="BJ43" i="4"/>
  <c r="BK16" i="4"/>
  <c r="BK43" i="4"/>
  <c r="BL16" i="4"/>
  <c r="BL43" i="4"/>
  <c r="BM16" i="4"/>
  <c r="BM43" i="4"/>
  <c r="BN16" i="4"/>
  <c r="BN43" i="4"/>
  <c r="BO16" i="4"/>
  <c r="BO43" i="4"/>
  <c r="BP16" i="4"/>
  <c r="BP43" i="4"/>
  <c r="BQ16" i="4"/>
  <c r="BQ43" i="4"/>
  <c r="AX17" i="4"/>
  <c r="AX44" i="4"/>
  <c r="AY17" i="4"/>
  <c r="AY44" i="4"/>
  <c r="AZ17" i="4"/>
  <c r="AZ44" i="4"/>
  <c r="BA17" i="4"/>
  <c r="BA44" i="4"/>
  <c r="BB17" i="4"/>
  <c r="BB44" i="4"/>
  <c r="BC17" i="4"/>
  <c r="BC44" i="4"/>
  <c r="BD17" i="4"/>
  <c r="BD44" i="4"/>
  <c r="BE17" i="4"/>
  <c r="BE44" i="4"/>
  <c r="BF17" i="4"/>
  <c r="BF44" i="4"/>
  <c r="BG17" i="4"/>
  <c r="BG44" i="4"/>
  <c r="BH17" i="4"/>
  <c r="BH44" i="4"/>
  <c r="BI17" i="4"/>
  <c r="BI44" i="4"/>
  <c r="BJ17" i="4"/>
  <c r="BJ44" i="4"/>
  <c r="BK17" i="4"/>
  <c r="BK44" i="4"/>
  <c r="BL17" i="4"/>
  <c r="BL44" i="4"/>
  <c r="BM17" i="4"/>
  <c r="BM44" i="4"/>
  <c r="BN17" i="4"/>
  <c r="BN44" i="4"/>
  <c r="BO17" i="4"/>
  <c r="BO44" i="4"/>
  <c r="BP17" i="4"/>
  <c r="BP44" i="4"/>
  <c r="BQ17" i="4"/>
  <c r="BQ44" i="4"/>
  <c r="AX18" i="4"/>
  <c r="AX45" i="4"/>
  <c r="AY18" i="4"/>
  <c r="AY45" i="4"/>
  <c r="AZ18" i="4"/>
  <c r="AZ45" i="4"/>
  <c r="BA18" i="4"/>
  <c r="BA45" i="4"/>
  <c r="BB18" i="4"/>
  <c r="BB45" i="4"/>
  <c r="BC18" i="4"/>
  <c r="BC45" i="4"/>
  <c r="BD18" i="4"/>
  <c r="BD45" i="4"/>
  <c r="BE18" i="4"/>
  <c r="BE45" i="4"/>
  <c r="BF18" i="4"/>
  <c r="BF45" i="4"/>
  <c r="BG18" i="4"/>
  <c r="BG45" i="4"/>
  <c r="BH18" i="4"/>
  <c r="BH45" i="4"/>
  <c r="BI18" i="4"/>
  <c r="BI45" i="4"/>
  <c r="BJ18" i="4"/>
  <c r="BJ45" i="4"/>
  <c r="BK18" i="4"/>
  <c r="BK45" i="4"/>
  <c r="BL18" i="4"/>
  <c r="BL45" i="4"/>
  <c r="BM18" i="4"/>
  <c r="BM45" i="4"/>
  <c r="BN18" i="4"/>
  <c r="BN45" i="4"/>
  <c r="BO18" i="4"/>
  <c r="BO45" i="4"/>
  <c r="BP18" i="4"/>
  <c r="BP45" i="4"/>
  <c r="BQ18" i="4"/>
  <c r="BQ45" i="4"/>
  <c r="AX19" i="4"/>
  <c r="AX46" i="4"/>
  <c r="AY19" i="4"/>
  <c r="AY46" i="4"/>
  <c r="AZ19" i="4"/>
  <c r="AZ46" i="4"/>
  <c r="BA19" i="4"/>
  <c r="BA46" i="4"/>
  <c r="BB19" i="4"/>
  <c r="BB46" i="4"/>
  <c r="BC19" i="4"/>
  <c r="BC46" i="4"/>
  <c r="BD19" i="4"/>
  <c r="BD46" i="4"/>
  <c r="BE19" i="4"/>
  <c r="BE46" i="4"/>
  <c r="BF19" i="4"/>
  <c r="BF46" i="4"/>
  <c r="BG19" i="4"/>
  <c r="BG46" i="4"/>
  <c r="BH19" i="4"/>
  <c r="BH46" i="4"/>
  <c r="BI19" i="4"/>
  <c r="BI46" i="4"/>
  <c r="BJ19" i="4"/>
  <c r="BJ46" i="4"/>
  <c r="BK19" i="4"/>
  <c r="BK46" i="4"/>
  <c r="BL19" i="4"/>
  <c r="BL46" i="4"/>
  <c r="BM19" i="4"/>
  <c r="BM46" i="4"/>
  <c r="BN19" i="4"/>
  <c r="BN46" i="4"/>
  <c r="BO19" i="4"/>
  <c r="BO46" i="4"/>
  <c r="BP19" i="4"/>
  <c r="BP46" i="4"/>
  <c r="BQ19" i="4"/>
  <c r="BQ46" i="4"/>
  <c r="AX20" i="4"/>
  <c r="AX47" i="4"/>
  <c r="AY20" i="4"/>
  <c r="AY47" i="4"/>
  <c r="AZ20" i="4"/>
  <c r="AZ47" i="4"/>
  <c r="BA20" i="4"/>
  <c r="BA47" i="4"/>
  <c r="BB20" i="4"/>
  <c r="BB47" i="4"/>
  <c r="BC20" i="4"/>
  <c r="BC47" i="4"/>
  <c r="BD20" i="4"/>
  <c r="BD47" i="4"/>
  <c r="BE20" i="4"/>
  <c r="BE47" i="4"/>
  <c r="BF20" i="4"/>
  <c r="BF47" i="4"/>
  <c r="BG20" i="4"/>
  <c r="BG47" i="4"/>
  <c r="BH20" i="4"/>
  <c r="BH47" i="4"/>
  <c r="BI20" i="4"/>
  <c r="BI47" i="4"/>
  <c r="BJ20" i="4"/>
  <c r="BJ47" i="4"/>
  <c r="BK20" i="4"/>
  <c r="BK47" i="4"/>
  <c r="BL20" i="4"/>
  <c r="BL47" i="4"/>
  <c r="BM20" i="4"/>
  <c r="BM47" i="4"/>
  <c r="BN20" i="4"/>
  <c r="BN47" i="4"/>
  <c r="BO20" i="4"/>
  <c r="BO47" i="4"/>
  <c r="BP20" i="4"/>
  <c r="BP47" i="4"/>
  <c r="BQ20" i="4"/>
  <c r="BQ47" i="4"/>
  <c r="AX21" i="4"/>
  <c r="AX48" i="4"/>
  <c r="AY21" i="4"/>
  <c r="AY48" i="4"/>
  <c r="AZ21" i="4"/>
  <c r="AZ48" i="4"/>
  <c r="BA21" i="4"/>
  <c r="BA48" i="4"/>
  <c r="BB21" i="4"/>
  <c r="BB48" i="4"/>
  <c r="BC21" i="4"/>
  <c r="BC48" i="4"/>
  <c r="BD21" i="4"/>
  <c r="BD48" i="4"/>
  <c r="BE21" i="4"/>
  <c r="BE48" i="4"/>
  <c r="BF21" i="4"/>
  <c r="BF48" i="4"/>
  <c r="BG21" i="4"/>
  <c r="BG48" i="4"/>
  <c r="BH21" i="4"/>
  <c r="BH48" i="4"/>
  <c r="BI21" i="4"/>
  <c r="BI48" i="4"/>
  <c r="BJ21" i="4"/>
  <c r="BJ48" i="4"/>
  <c r="BK21" i="4"/>
  <c r="BK48" i="4"/>
  <c r="BL21" i="4"/>
  <c r="BL48" i="4"/>
  <c r="BM21" i="4"/>
  <c r="BM48" i="4"/>
  <c r="BN21" i="4"/>
  <c r="BN48" i="4"/>
  <c r="BO21" i="4"/>
  <c r="BO48" i="4"/>
  <c r="BP21" i="4"/>
  <c r="BP48" i="4"/>
  <c r="BQ21" i="4"/>
  <c r="BQ48" i="4"/>
  <c r="AX22" i="4"/>
  <c r="AX49" i="4"/>
  <c r="AY22" i="4"/>
  <c r="AY49" i="4"/>
  <c r="AZ22" i="4"/>
  <c r="AZ49" i="4"/>
  <c r="BA22" i="4"/>
  <c r="BA49" i="4"/>
  <c r="BB22" i="4"/>
  <c r="BB49" i="4"/>
  <c r="BC22" i="4"/>
  <c r="BC49" i="4"/>
  <c r="BD22" i="4"/>
  <c r="BD49" i="4"/>
  <c r="BE22" i="4"/>
  <c r="BE49" i="4"/>
  <c r="BF22" i="4"/>
  <c r="BF49" i="4"/>
  <c r="BG22" i="4"/>
  <c r="BG49" i="4"/>
  <c r="BH22" i="4"/>
  <c r="BH49" i="4"/>
  <c r="BI22" i="4"/>
  <c r="BI49" i="4"/>
  <c r="BJ22" i="4"/>
  <c r="BJ49" i="4"/>
  <c r="BK22" i="4"/>
  <c r="BK49" i="4"/>
  <c r="BL22" i="4"/>
  <c r="BL49" i="4"/>
  <c r="BM22" i="4"/>
  <c r="BM49" i="4"/>
  <c r="BN22" i="4"/>
  <c r="BN49" i="4"/>
  <c r="BO22" i="4"/>
  <c r="BO49" i="4"/>
  <c r="BP22" i="4"/>
  <c r="BP49" i="4"/>
  <c r="BQ22" i="4"/>
  <c r="BQ49" i="4"/>
  <c r="AX23" i="4"/>
  <c r="AX50" i="4"/>
  <c r="AY23" i="4"/>
  <c r="AY50" i="4"/>
  <c r="AZ23" i="4"/>
  <c r="AZ50" i="4"/>
  <c r="BA23" i="4"/>
  <c r="BA50" i="4"/>
  <c r="BB23" i="4"/>
  <c r="BB50" i="4"/>
  <c r="BC23" i="4"/>
  <c r="BC50" i="4"/>
  <c r="BD23" i="4"/>
  <c r="BD50" i="4"/>
  <c r="BE23" i="4"/>
  <c r="BE50" i="4"/>
  <c r="BF23" i="4"/>
  <c r="BF50" i="4"/>
  <c r="BG23" i="4"/>
  <c r="BG50" i="4"/>
  <c r="BH23" i="4"/>
  <c r="BH50" i="4"/>
  <c r="BI23" i="4"/>
  <c r="BI50" i="4"/>
  <c r="BJ23" i="4"/>
  <c r="BJ50" i="4"/>
  <c r="BK23" i="4"/>
  <c r="BK50" i="4"/>
  <c r="BL23" i="4"/>
  <c r="BL50" i="4"/>
  <c r="BM23" i="4"/>
  <c r="BM50" i="4"/>
  <c r="BN23" i="4"/>
  <c r="BN50" i="4"/>
  <c r="BO23" i="4"/>
  <c r="BO50" i="4"/>
  <c r="BP23" i="4"/>
  <c r="BP50" i="4"/>
  <c r="BQ23" i="4"/>
  <c r="BQ50" i="4"/>
  <c r="AX24" i="4"/>
  <c r="AX51" i="4"/>
  <c r="AY24" i="4"/>
  <c r="AY51" i="4"/>
  <c r="AZ24" i="4"/>
  <c r="AZ51" i="4"/>
  <c r="BA24" i="4"/>
  <c r="BA51" i="4"/>
  <c r="BB24" i="4"/>
  <c r="BB51" i="4"/>
  <c r="BC24" i="4"/>
  <c r="BC51" i="4"/>
  <c r="BD24" i="4"/>
  <c r="BD51" i="4"/>
  <c r="BE24" i="4"/>
  <c r="BE51" i="4"/>
  <c r="BF24" i="4"/>
  <c r="BF51" i="4"/>
  <c r="BG24" i="4"/>
  <c r="BG51" i="4"/>
  <c r="BH24" i="4"/>
  <c r="BH51" i="4"/>
  <c r="BI24" i="4"/>
  <c r="BI51" i="4"/>
  <c r="BJ24" i="4"/>
  <c r="BJ51" i="4"/>
  <c r="BK24" i="4"/>
  <c r="BK51" i="4"/>
  <c r="BL24" i="4"/>
  <c r="BL51" i="4"/>
  <c r="BM24" i="4"/>
  <c r="BM51" i="4"/>
  <c r="BN24" i="4"/>
  <c r="BN51" i="4"/>
  <c r="BO24" i="4"/>
  <c r="BO51" i="4"/>
  <c r="BP24" i="4"/>
  <c r="BP51" i="4"/>
  <c r="BQ24" i="4"/>
  <c r="BQ51" i="4"/>
  <c r="AX25" i="4"/>
  <c r="AX52" i="4"/>
  <c r="AY25" i="4"/>
  <c r="AY52" i="4"/>
  <c r="AZ25" i="4"/>
  <c r="AZ52" i="4"/>
  <c r="BA25" i="4"/>
  <c r="BA52" i="4"/>
  <c r="BB25" i="4"/>
  <c r="BB52" i="4"/>
  <c r="BC25" i="4"/>
  <c r="BC52" i="4"/>
  <c r="BD25" i="4"/>
  <c r="BD52" i="4"/>
  <c r="BE25" i="4"/>
  <c r="BE52" i="4"/>
  <c r="BF25" i="4"/>
  <c r="BF52" i="4"/>
  <c r="BG25" i="4"/>
  <c r="BG52" i="4"/>
  <c r="BH25" i="4"/>
  <c r="BH52" i="4"/>
  <c r="BI25" i="4"/>
  <c r="BI52" i="4"/>
  <c r="BJ25" i="4"/>
  <c r="BJ52" i="4"/>
  <c r="BK25" i="4"/>
  <c r="BK52" i="4"/>
  <c r="BL25" i="4"/>
  <c r="BL52" i="4"/>
  <c r="BM25" i="4"/>
  <c r="BM52" i="4"/>
  <c r="BN25" i="4"/>
  <c r="BN52" i="4"/>
  <c r="BO25" i="4"/>
  <c r="BO52" i="4"/>
  <c r="BP25" i="4"/>
  <c r="BP52" i="4"/>
  <c r="BQ25" i="4"/>
  <c r="BQ52" i="4"/>
  <c r="AX26" i="4"/>
  <c r="AX53" i="4"/>
  <c r="AY26" i="4"/>
  <c r="AY53" i="4"/>
  <c r="AZ26" i="4"/>
  <c r="AZ53" i="4"/>
  <c r="BA26" i="4"/>
  <c r="BA53" i="4"/>
  <c r="BB26" i="4"/>
  <c r="BB53" i="4"/>
  <c r="BC26" i="4"/>
  <c r="BC53" i="4"/>
  <c r="BD26" i="4"/>
  <c r="BD53" i="4"/>
  <c r="BE26" i="4"/>
  <c r="BE53" i="4"/>
  <c r="BF26" i="4"/>
  <c r="BF53" i="4"/>
  <c r="BG26" i="4"/>
  <c r="BG53" i="4"/>
  <c r="BH26" i="4"/>
  <c r="BH53" i="4"/>
  <c r="BI26" i="4"/>
  <c r="BI53" i="4"/>
  <c r="BJ26" i="4"/>
  <c r="BJ53" i="4"/>
  <c r="BK26" i="4"/>
  <c r="BK53" i="4"/>
  <c r="BL26" i="4"/>
  <c r="BL53" i="4"/>
  <c r="BM26" i="4"/>
  <c r="BM53" i="4"/>
  <c r="BN26" i="4"/>
  <c r="BN53" i="4"/>
  <c r="BO26" i="4"/>
  <c r="BO53" i="4"/>
  <c r="BP26" i="4"/>
  <c r="BP53" i="4"/>
  <c r="BQ26" i="4"/>
  <c r="BQ53" i="4"/>
  <c r="AX27" i="4"/>
  <c r="AX54" i="4"/>
  <c r="AY27" i="4"/>
  <c r="AY54" i="4"/>
  <c r="AZ27" i="4"/>
  <c r="AZ54" i="4"/>
  <c r="BA27" i="4"/>
  <c r="BA54" i="4"/>
  <c r="BB27" i="4"/>
  <c r="BB54" i="4"/>
  <c r="BC27" i="4"/>
  <c r="BC54" i="4"/>
  <c r="BD27" i="4"/>
  <c r="BD54" i="4"/>
  <c r="BE27" i="4"/>
  <c r="BE54" i="4"/>
  <c r="BF27" i="4"/>
  <c r="BF54" i="4"/>
  <c r="BG27" i="4"/>
  <c r="BG54" i="4"/>
  <c r="BH27" i="4"/>
  <c r="BH54" i="4"/>
  <c r="BI27" i="4"/>
  <c r="BI54" i="4"/>
  <c r="BJ27" i="4"/>
  <c r="BJ54" i="4"/>
  <c r="BK27" i="4"/>
  <c r="BK54" i="4"/>
  <c r="BL27" i="4"/>
  <c r="BL54" i="4"/>
  <c r="BM27" i="4"/>
  <c r="BM54" i="4"/>
  <c r="BN27" i="4"/>
  <c r="BN54" i="4"/>
  <c r="BO27" i="4"/>
  <c r="BO54" i="4"/>
  <c r="BP27" i="4"/>
  <c r="BP54" i="4"/>
  <c r="BQ27" i="4"/>
  <c r="BQ54" i="4"/>
  <c r="AX28" i="4"/>
  <c r="AX55" i="4"/>
  <c r="AY28" i="4"/>
  <c r="AY55" i="4"/>
  <c r="AZ28" i="4"/>
  <c r="AZ55" i="4"/>
  <c r="BA28" i="4"/>
  <c r="BA55" i="4"/>
  <c r="BB28" i="4"/>
  <c r="BB55" i="4"/>
  <c r="BC28" i="4"/>
  <c r="BC55" i="4"/>
  <c r="BD28" i="4"/>
  <c r="BD55" i="4"/>
  <c r="BE28" i="4"/>
  <c r="BE55" i="4"/>
  <c r="BF28" i="4"/>
  <c r="BF55" i="4"/>
  <c r="BG28" i="4"/>
  <c r="BG55" i="4"/>
  <c r="BH28" i="4"/>
  <c r="BH55" i="4"/>
  <c r="BI28" i="4"/>
  <c r="BI55" i="4"/>
  <c r="BJ28" i="4"/>
  <c r="BJ55" i="4"/>
  <c r="BK28" i="4"/>
  <c r="BK55" i="4"/>
  <c r="BL28" i="4"/>
  <c r="BL55" i="4"/>
  <c r="BM28" i="4"/>
  <c r="BM55" i="4"/>
  <c r="BN28" i="4"/>
  <c r="BN55" i="4"/>
  <c r="BO28" i="4"/>
  <c r="BO55" i="4"/>
  <c r="BP28" i="4"/>
  <c r="BP55" i="4"/>
  <c r="BQ28" i="4"/>
  <c r="BQ55" i="4"/>
  <c r="AX29" i="4"/>
  <c r="AX56" i="4"/>
  <c r="AY29" i="4"/>
  <c r="AY56" i="4"/>
  <c r="AZ29" i="4"/>
  <c r="AZ56" i="4"/>
  <c r="BA29" i="4"/>
  <c r="BA56" i="4"/>
  <c r="BB29" i="4"/>
  <c r="BB56" i="4"/>
  <c r="BC29" i="4"/>
  <c r="BC56" i="4"/>
  <c r="BD29" i="4"/>
  <c r="BD56" i="4"/>
  <c r="BE29" i="4"/>
  <c r="BE56" i="4"/>
  <c r="BF29" i="4"/>
  <c r="BF56" i="4"/>
  <c r="BG29" i="4"/>
  <c r="BG56" i="4"/>
  <c r="BH29" i="4"/>
  <c r="BH56" i="4"/>
  <c r="BI29" i="4"/>
  <c r="BI56" i="4"/>
  <c r="BJ29" i="4"/>
  <c r="BJ56" i="4"/>
  <c r="BK29" i="4"/>
  <c r="BK56" i="4"/>
  <c r="BL29" i="4"/>
  <c r="BL56" i="4"/>
  <c r="BM29" i="4"/>
  <c r="BM56" i="4"/>
  <c r="BN29" i="4"/>
  <c r="BN56" i="4"/>
  <c r="BO29" i="4"/>
  <c r="BO56" i="4"/>
  <c r="BP29" i="4"/>
  <c r="BP56" i="4"/>
  <c r="BQ29" i="4"/>
  <c r="BQ56" i="4"/>
  <c r="BU94" i="4" a="1"/>
  <c r="BU94" i="4"/>
  <c r="BU71" i="4" a="1"/>
  <c r="BU71" i="4"/>
  <c r="AX72" i="4"/>
  <c r="AX95" i="4"/>
  <c r="AA71" i="4"/>
  <c r="H117" i="2"/>
  <c r="H118" i="2"/>
  <c r="H119" i="2"/>
  <c r="H120" i="2"/>
  <c r="H121" i="2"/>
  <c r="H122" i="2"/>
  <c r="H116" i="2"/>
  <c r="F116" i="2"/>
  <c r="F117" i="2"/>
  <c r="F118" i="2"/>
  <c r="F119" i="2"/>
  <c r="F120" i="2"/>
  <c r="F121" i="2"/>
  <c r="F122" i="2"/>
  <c r="E127" i="2"/>
  <c r="I116" i="2"/>
  <c r="AX71" i="4"/>
  <c r="AX94" i="4"/>
  <c r="AB71" i="4"/>
  <c r="AY71" i="4"/>
  <c r="AY94" i="4"/>
  <c r="AC71" i="4"/>
  <c r="AZ71" i="4"/>
  <c r="AZ94" i="4"/>
  <c r="AD71" i="4"/>
  <c r="BA71" i="4"/>
  <c r="BA94" i="4"/>
  <c r="AE71" i="4"/>
  <c r="BB71" i="4"/>
  <c r="BB94" i="4"/>
  <c r="AF71" i="4"/>
  <c r="BC71" i="4"/>
  <c r="BC94" i="4"/>
  <c r="AG71" i="4"/>
  <c r="BD71" i="4"/>
  <c r="BD94" i="4"/>
  <c r="AH71" i="4"/>
  <c r="BE71" i="4"/>
  <c r="BE94" i="4"/>
  <c r="AI71" i="4"/>
  <c r="BF71" i="4"/>
  <c r="BF94" i="4"/>
  <c r="AJ71" i="4"/>
  <c r="BG71" i="4"/>
  <c r="BG94" i="4"/>
  <c r="AK71" i="4"/>
  <c r="BH71" i="4"/>
  <c r="BH94" i="4"/>
  <c r="AL71" i="4"/>
  <c r="BI71" i="4"/>
  <c r="BI94" i="4"/>
  <c r="AM71" i="4"/>
  <c r="BJ71" i="4"/>
  <c r="BJ94" i="4"/>
  <c r="AN71" i="4"/>
  <c r="BK71" i="4"/>
  <c r="BK94" i="4"/>
  <c r="AO71" i="4"/>
  <c r="BL71" i="4"/>
  <c r="BL94" i="4"/>
  <c r="AP71" i="4"/>
  <c r="BM71" i="4"/>
  <c r="BM94" i="4"/>
  <c r="AQ71" i="4"/>
  <c r="BN71" i="4"/>
  <c r="BN94" i="4"/>
  <c r="AR71" i="4"/>
  <c r="BO71" i="4"/>
  <c r="BO94" i="4"/>
  <c r="AS71" i="4"/>
  <c r="BP71" i="4"/>
  <c r="BP94" i="4"/>
  <c r="AT71" i="4"/>
  <c r="BQ71" i="4"/>
  <c r="BQ94" i="4"/>
  <c r="AY72" i="4"/>
  <c r="AY95" i="4"/>
  <c r="AZ72" i="4"/>
  <c r="AZ95" i="4"/>
  <c r="BA72" i="4"/>
  <c r="BA95" i="4"/>
  <c r="BB72" i="4"/>
  <c r="BB95" i="4"/>
  <c r="BC72" i="4"/>
  <c r="BC95" i="4"/>
  <c r="BD72" i="4"/>
  <c r="BD95" i="4"/>
  <c r="BE72" i="4"/>
  <c r="BE95" i="4"/>
  <c r="BF72" i="4"/>
  <c r="BF95" i="4"/>
  <c r="BG72" i="4"/>
  <c r="BG95" i="4"/>
  <c r="BH72" i="4"/>
  <c r="BH95" i="4"/>
  <c r="BI72" i="4"/>
  <c r="BI95" i="4"/>
  <c r="BJ72" i="4"/>
  <c r="BJ95" i="4"/>
  <c r="BK72" i="4"/>
  <c r="BK95" i="4"/>
  <c r="BL72" i="4"/>
  <c r="BL95" i="4"/>
  <c r="BM72" i="4"/>
  <c r="BM95" i="4"/>
  <c r="BN72" i="4"/>
  <c r="BN95" i="4"/>
  <c r="BO72" i="4"/>
  <c r="BO95" i="4"/>
  <c r="BP72" i="4"/>
  <c r="BP95" i="4"/>
  <c r="BQ72" i="4"/>
  <c r="BQ95" i="4"/>
  <c r="AX73" i="4"/>
  <c r="AX96" i="4"/>
  <c r="AY73" i="4"/>
  <c r="AY96" i="4"/>
  <c r="AZ73" i="4"/>
  <c r="AZ96" i="4"/>
  <c r="BA73" i="4"/>
  <c r="BA96" i="4"/>
  <c r="BB73" i="4"/>
  <c r="BB96" i="4"/>
  <c r="BC73" i="4"/>
  <c r="BC96" i="4"/>
  <c r="BD73" i="4"/>
  <c r="BD96" i="4"/>
  <c r="BE73" i="4"/>
  <c r="BE96" i="4"/>
  <c r="BF73" i="4"/>
  <c r="BF96" i="4"/>
  <c r="BG73" i="4"/>
  <c r="BG96" i="4"/>
  <c r="BH73" i="4"/>
  <c r="BH96" i="4"/>
  <c r="BI73" i="4"/>
  <c r="BI96" i="4"/>
  <c r="BJ73" i="4"/>
  <c r="BJ96" i="4"/>
  <c r="BK73" i="4"/>
  <c r="BK96" i="4"/>
  <c r="BL73" i="4"/>
  <c r="BL96" i="4"/>
  <c r="BM73" i="4"/>
  <c r="BM96" i="4"/>
  <c r="BN73" i="4"/>
  <c r="BN96" i="4"/>
  <c r="BO73" i="4"/>
  <c r="BO96" i="4"/>
  <c r="BP73" i="4"/>
  <c r="BP96" i="4"/>
  <c r="BQ73" i="4"/>
  <c r="BQ96" i="4"/>
  <c r="AX74" i="4"/>
  <c r="AX97" i="4"/>
  <c r="AY74" i="4"/>
  <c r="AY97" i="4"/>
  <c r="AZ74" i="4"/>
  <c r="AZ97" i="4"/>
  <c r="BA74" i="4"/>
  <c r="BA97" i="4"/>
  <c r="BB74" i="4"/>
  <c r="BB97" i="4"/>
  <c r="BC74" i="4"/>
  <c r="BC97" i="4"/>
  <c r="BD74" i="4"/>
  <c r="BD97" i="4"/>
  <c r="BE74" i="4"/>
  <c r="BE97" i="4"/>
  <c r="BF74" i="4"/>
  <c r="BF97" i="4"/>
  <c r="BG74" i="4"/>
  <c r="BG97" i="4"/>
  <c r="BH74" i="4"/>
  <c r="BH97" i="4"/>
  <c r="BI74" i="4"/>
  <c r="BI97" i="4"/>
  <c r="BJ74" i="4"/>
  <c r="BJ97" i="4"/>
  <c r="BK74" i="4"/>
  <c r="BK97" i="4"/>
  <c r="BL74" i="4"/>
  <c r="BL97" i="4"/>
  <c r="BM74" i="4"/>
  <c r="BM97" i="4"/>
  <c r="BN74" i="4"/>
  <c r="BN97" i="4"/>
  <c r="BO74" i="4"/>
  <c r="BO97" i="4"/>
  <c r="BP74" i="4"/>
  <c r="BP97" i="4"/>
  <c r="BQ74" i="4"/>
  <c r="BQ97" i="4"/>
  <c r="AX75" i="4"/>
  <c r="AX98" i="4"/>
  <c r="AY75" i="4"/>
  <c r="AY98" i="4"/>
  <c r="AZ75" i="4"/>
  <c r="AZ98" i="4"/>
  <c r="BA75" i="4"/>
  <c r="BA98" i="4"/>
  <c r="BB75" i="4"/>
  <c r="BB98" i="4"/>
  <c r="BC75" i="4"/>
  <c r="BC98" i="4"/>
  <c r="BD75" i="4"/>
  <c r="BD98" i="4"/>
  <c r="BE75" i="4"/>
  <c r="BE98" i="4"/>
  <c r="BF75" i="4"/>
  <c r="BF98" i="4"/>
  <c r="BG75" i="4"/>
  <c r="BG98" i="4"/>
  <c r="BH75" i="4"/>
  <c r="BH98" i="4"/>
  <c r="BI75" i="4"/>
  <c r="BI98" i="4"/>
  <c r="BJ75" i="4"/>
  <c r="BJ98" i="4"/>
  <c r="BK75" i="4"/>
  <c r="BK98" i="4"/>
  <c r="BL75" i="4"/>
  <c r="BL98" i="4"/>
  <c r="BM75" i="4"/>
  <c r="BM98" i="4"/>
  <c r="BN75" i="4"/>
  <c r="BN98" i="4"/>
  <c r="BO75" i="4"/>
  <c r="BO98" i="4"/>
  <c r="BP75" i="4"/>
  <c r="BP98" i="4"/>
  <c r="BQ75" i="4"/>
  <c r="BQ98" i="4"/>
  <c r="AX76" i="4"/>
  <c r="AX99" i="4"/>
  <c r="AY76" i="4"/>
  <c r="AY99" i="4"/>
  <c r="AZ76" i="4"/>
  <c r="AZ99" i="4"/>
  <c r="BA76" i="4"/>
  <c r="BA99" i="4"/>
  <c r="BB76" i="4"/>
  <c r="BB99" i="4"/>
  <c r="BC76" i="4"/>
  <c r="BC99" i="4"/>
  <c r="BD76" i="4"/>
  <c r="BD99" i="4"/>
  <c r="BE76" i="4"/>
  <c r="BE99" i="4"/>
  <c r="BF76" i="4"/>
  <c r="BF99" i="4"/>
  <c r="BG76" i="4"/>
  <c r="BG99" i="4"/>
  <c r="BH76" i="4"/>
  <c r="BH99" i="4"/>
  <c r="BI76" i="4"/>
  <c r="BI99" i="4"/>
  <c r="BJ76" i="4"/>
  <c r="BJ99" i="4"/>
  <c r="BK76" i="4"/>
  <c r="BK99" i="4"/>
  <c r="BL76" i="4"/>
  <c r="BL99" i="4"/>
  <c r="BM76" i="4"/>
  <c r="BM99" i="4"/>
  <c r="BN76" i="4"/>
  <c r="BN99" i="4"/>
  <c r="BO76" i="4"/>
  <c r="BO99" i="4"/>
  <c r="BP76" i="4"/>
  <c r="BP99" i="4"/>
  <c r="BQ76" i="4"/>
  <c r="BQ99" i="4"/>
  <c r="AA77" i="4"/>
  <c r="AX77" i="4"/>
  <c r="AX100" i="4"/>
  <c r="AB77" i="4"/>
  <c r="AY77" i="4"/>
  <c r="AY100" i="4"/>
  <c r="AC77" i="4"/>
  <c r="AZ77" i="4"/>
  <c r="AZ100" i="4"/>
  <c r="AD77" i="4"/>
  <c r="BA77" i="4"/>
  <c r="BA100" i="4"/>
  <c r="AE77" i="4"/>
  <c r="BB77" i="4"/>
  <c r="BB100" i="4"/>
  <c r="AF77" i="4"/>
  <c r="BC77" i="4"/>
  <c r="BC100" i="4"/>
  <c r="AG77" i="4"/>
  <c r="BD77" i="4"/>
  <c r="BD100" i="4"/>
  <c r="AH77" i="4"/>
  <c r="BE77" i="4"/>
  <c r="BE100" i="4"/>
  <c r="AI77" i="4"/>
  <c r="BF77" i="4"/>
  <c r="BF100" i="4"/>
  <c r="AJ77" i="4"/>
  <c r="BG77" i="4"/>
  <c r="BG100" i="4"/>
  <c r="AK77" i="4"/>
  <c r="BH77" i="4"/>
  <c r="BH100" i="4"/>
  <c r="AL77" i="4"/>
  <c r="BI77" i="4"/>
  <c r="BI100" i="4"/>
  <c r="AM77" i="4"/>
  <c r="BJ77" i="4"/>
  <c r="BJ100" i="4"/>
  <c r="AN77" i="4"/>
  <c r="BK77" i="4"/>
  <c r="BK100" i="4"/>
  <c r="AO77" i="4"/>
  <c r="BL77" i="4"/>
  <c r="BL100" i="4"/>
  <c r="AP77" i="4"/>
  <c r="BM77" i="4"/>
  <c r="BM100" i="4"/>
  <c r="AQ77" i="4"/>
  <c r="BN77" i="4"/>
  <c r="BN100" i="4"/>
  <c r="AR77" i="4"/>
  <c r="BO77" i="4"/>
  <c r="BO100" i="4"/>
  <c r="AS77" i="4"/>
  <c r="BP77" i="4"/>
  <c r="BP100" i="4"/>
  <c r="AT77" i="4"/>
  <c r="BQ77" i="4"/>
  <c r="BQ100" i="4"/>
  <c r="AX78" i="4"/>
  <c r="AX101" i="4"/>
  <c r="AY78" i="4"/>
  <c r="AY101" i="4"/>
  <c r="AZ78" i="4"/>
  <c r="AZ101" i="4"/>
  <c r="BA78" i="4"/>
  <c r="BA101" i="4"/>
  <c r="BB78" i="4"/>
  <c r="BB101" i="4"/>
  <c r="BC78" i="4"/>
  <c r="BC101" i="4"/>
  <c r="BD78" i="4"/>
  <c r="BD101" i="4"/>
  <c r="BE78" i="4"/>
  <c r="BE101" i="4"/>
  <c r="BF78" i="4"/>
  <c r="BF101" i="4"/>
  <c r="BG78" i="4"/>
  <c r="BG101" i="4"/>
  <c r="BH78" i="4"/>
  <c r="BH101" i="4"/>
  <c r="BI78" i="4"/>
  <c r="BI101" i="4"/>
  <c r="BJ78" i="4"/>
  <c r="BJ101" i="4"/>
  <c r="BK78" i="4"/>
  <c r="BK101" i="4"/>
  <c r="BL78" i="4"/>
  <c r="BL101" i="4"/>
  <c r="BM78" i="4"/>
  <c r="BM101" i="4"/>
  <c r="BN78" i="4"/>
  <c r="BN101" i="4"/>
  <c r="BO78" i="4"/>
  <c r="BO101" i="4"/>
  <c r="BP78" i="4"/>
  <c r="BP101" i="4"/>
  <c r="BQ78" i="4"/>
  <c r="BQ101" i="4"/>
  <c r="AX79" i="4"/>
  <c r="AX102" i="4"/>
  <c r="AY79" i="4"/>
  <c r="AY102" i="4"/>
  <c r="AZ79" i="4"/>
  <c r="AZ102" i="4"/>
  <c r="BA79" i="4"/>
  <c r="BA102" i="4"/>
  <c r="BB79" i="4"/>
  <c r="BB102" i="4"/>
  <c r="BC79" i="4"/>
  <c r="BC102" i="4"/>
  <c r="BD79" i="4"/>
  <c r="BD102" i="4"/>
  <c r="BE79" i="4"/>
  <c r="BE102" i="4"/>
  <c r="BF79" i="4"/>
  <c r="BF102" i="4"/>
  <c r="BG79" i="4"/>
  <c r="BG102" i="4"/>
  <c r="BH79" i="4"/>
  <c r="BH102" i="4"/>
  <c r="BI79" i="4"/>
  <c r="BI102" i="4"/>
  <c r="BJ79" i="4"/>
  <c r="BJ102" i="4"/>
  <c r="BK79" i="4"/>
  <c r="BK102" i="4"/>
  <c r="BL79" i="4"/>
  <c r="BL102" i="4"/>
  <c r="BM79" i="4"/>
  <c r="BM102" i="4"/>
  <c r="BN79" i="4"/>
  <c r="BN102" i="4"/>
  <c r="BO79" i="4"/>
  <c r="BO102" i="4"/>
  <c r="BP79" i="4"/>
  <c r="BP102" i="4"/>
  <c r="BQ79" i="4"/>
  <c r="BQ102" i="4"/>
  <c r="AX80" i="4"/>
  <c r="AX103" i="4"/>
  <c r="AY80" i="4"/>
  <c r="AY103" i="4"/>
  <c r="AZ80" i="4"/>
  <c r="AZ103" i="4"/>
  <c r="BA80" i="4"/>
  <c r="BA103" i="4"/>
  <c r="BB80" i="4"/>
  <c r="BB103" i="4"/>
  <c r="BC80" i="4"/>
  <c r="BC103" i="4"/>
  <c r="BD80" i="4"/>
  <c r="BD103" i="4"/>
  <c r="BE80" i="4"/>
  <c r="BE103" i="4"/>
  <c r="BF80" i="4"/>
  <c r="BF103" i="4"/>
  <c r="BG80" i="4"/>
  <c r="BG103" i="4"/>
  <c r="BH80" i="4"/>
  <c r="BH103" i="4"/>
  <c r="BI80" i="4"/>
  <c r="BI103" i="4"/>
  <c r="BJ80" i="4"/>
  <c r="BJ103" i="4"/>
  <c r="BK80" i="4"/>
  <c r="BK103" i="4"/>
  <c r="BL80" i="4"/>
  <c r="BL103" i="4"/>
  <c r="BM80" i="4"/>
  <c r="BM103" i="4"/>
  <c r="BN80" i="4"/>
  <c r="BN103" i="4"/>
  <c r="BO80" i="4"/>
  <c r="BO103" i="4"/>
  <c r="BP80" i="4"/>
  <c r="BP103" i="4"/>
  <c r="BQ80" i="4"/>
  <c r="BQ103" i="4"/>
  <c r="AX81" i="4"/>
  <c r="AX104" i="4"/>
  <c r="AY81" i="4"/>
  <c r="AY104" i="4"/>
  <c r="AZ81" i="4"/>
  <c r="AZ104" i="4"/>
  <c r="BA81" i="4"/>
  <c r="BA104" i="4"/>
  <c r="BB81" i="4"/>
  <c r="BB104" i="4"/>
  <c r="BC81" i="4"/>
  <c r="BC104" i="4"/>
  <c r="BD81" i="4"/>
  <c r="BD104" i="4"/>
  <c r="BE81" i="4"/>
  <c r="BE104" i="4"/>
  <c r="BF81" i="4"/>
  <c r="BF104" i="4"/>
  <c r="BG81" i="4"/>
  <c r="BG104" i="4"/>
  <c r="BH81" i="4"/>
  <c r="BH104" i="4"/>
  <c r="BI81" i="4"/>
  <c r="BI104" i="4"/>
  <c r="BJ81" i="4"/>
  <c r="BJ104" i="4"/>
  <c r="BK81" i="4"/>
  <c r="BK104" i="4"/>
  <c r="BL81" i="4"/>
  <c r="BL104" i="4"/>
  <c r="BM81" i="4"/>
  <c r="BM104" i="4"/>
  <c r="BN81" i="4"/>
  <c r="BN104" i="4"/>
  <c r="BO81" i="4"/>
  <c r="BO104" i="4"/>
  <c r="BP81" i="4"/>
  <c r="BP104" i="4"/>
  <c r="BQ81" i="4"/>
  <c r="BQ104" i="4"/>
  <c r="AX82" i="4"/>
  <c r="AX105" i="4"/>
  <c r="AY82" i="4"/>
  <c r="AY105" i="4"/>
  <c r="AZ82" i="4"/>
  <c r="AZ105" i="4"/>
  <c r="BA82" i="4"/>
  <c r="BA105" i="4"/>
  <c r="BB82" i="4"/>
  <c r="BB105" i="4"/>
  <c r="BC82" i="4"/>
  <c r="BC105" i="4"/>
  <c r="BD82" i="4"/>
  <c r="BD105" i="4"/>
  <c r="BE82" i="4"/>
  <c r="BE105" i="4"/>
  <c r="BF82" i="4"/>
  <c r="BF105" i="4"/>
  <c r="BG82" i="4"/>
  <c r="BG105" i="4"/>
  <c r="BH82" i="4"/>
  <c r="BH105" i="4"/>
  <c r="BI82" i="4"/>
  <c r="BI105" i="4"/>
  <c r="BJ82" i="4"/>
  <c r="BJ105" i="4"/>
  <c r="BK82" i="4"/>
  <c r="BK105" i="4"/>
  <c r="BL82" i="4"/>
  <c r="BL105" i="4"/>
  <c r="BM82" i="4"/>
  <c r="BM105" i="4"/>
  <c r="BN82" i="4"/>
  <c r="BN105" i="4"/>
  <c r="BO82" i="4"/>
  <c r="BO105" i="4"/>
  <c r="BP82" i="4"/>
  <c r="BP105" i="4"/>
  <c r="BQ82" i="4"/>
  <c r="BQ105" i="4"/>
  <c r="AX83" i="4"/>
  <c r="AX106" i="4"/>
  <c r="AY83" i="4"/>
  <c r="AY106" i="4"/>
  <c r="AZ83" i="4"/>
  <c r="AZ106" i="4"/>
  <c r="BA83" i="4"/>
  <c r="BA106" i="4"/>
  <c r="BB83" i="4"/>
  <c r="BB106" i="4"/>
  <c r="BC83" i="4"/>
  <c r="BC106" i="4"/>
  <c r="BD83" i="4"/>
  <c r="BD106" i="4"/>
  <c r="BE83" i="4"/>
  <c r="BE106" i="4"/>
  <c r="BF83" i="4"/>
  <c r="BF106" i="4"/>
  <c r="BG83" i="4"/>
  <c r="BG106" i="4"/>
  <c r="BH83" i="4"/>
  <c r="BH106" i="4"/>
  <c r="BI83" i="4"/>
  <c r="BI106" i="4"/>
  <c r="BJ83" i="4"/>
  <c r="BJ106" i="4"/>
  <c r="BK83" i="4"/>
  <c r="BK106" i="4"/>
  <c r="BL83" i="4"/>
  <c r="BL106" i="4"/>
  <c r="BM83" i="4"/>
  <c r="BM106" i="4"/>
  <c r="BN83" i="4"/>
  <c r="BN106" i="4"/>
  <c r="BO83" i="4"/>
  <c r="BO106" i="4"/>
  <c r="BP83" i="4"/>
  <c r="BP106" i="4"/>
  <c r="BQ83" i="4"/>
  <c r="BQ106" i="4"/>
  <c r="AX84" i="4"/>
  <c r="AX107" i="4"/>
  <c r="AY84" i="4"/>
  <c r="AY107" i="4"/>
  <c r="AZ84" i="4"/>
  <c r="AZ107" i="4"/>
  <c r="BA84" i="4"/>
  <c r="BA107" i="4"/>
  <c r="BB84" i="4"/>
  <c r="BB107" i="4"/>
  <c r="BC84" i="4"/>
  <c r="BC107" i="4"/>
  <c r="BD84" i="4"/>
  <c r="BD107" i="4"/>
  <c r="BE84" i="4"/>
  <c r="BE107" i="4"/>
  <c r="BF84" i="4"/>
  <c r="BF107" i="4"/>
  <c r="BG84" i="4"/>
  <c r="BG107" i="4"/>
  <c r="BH84" i="4"/>
  <c r="BH107" i="4"/>
  <c r="BI84" i="4"/>
  <c r="BI107" i="4"/>
  <c r="BJ84" i="4"/>
  <c r="BJ107" i="4"/>
  <c r="BK84" i="4"/>
  <c r="BK107" i="4"/>
  <c r="BL84" i="4"/>
  <c r="BL107" i="4"/>
  <c r="BM84" i="4"/>
  <c r="BM107" i="4"/>
  <c r="BN84" i="4"/>
  <c r="BN107" i="4"/>
  <c r="BO84" i="4"/>
  <c r="BO107" i="4"/>
  <c r="BP84" i="4"/>
  <c r="BP107" i="4"/>
  <c r="BQ84" i="4"/>
  <c r="BQ107" i="4"/>
  <c r="AX85" i="4"/>
  <c r="AX108" i="4"/>
  <c r="AY85" i="4"/>
  <c r="AY108" i="4"/>
  <c r="AZ85" i="4"/>
  <c r="AZ108" i="4"/>
  <c r="BA85" i="4"/>
  <c r="BA108" i="4"/>
  <c r="BB85" i="4"/>
  <c r="BB108" i="4"/>
  <c r="BC85" i="4"/>
  <c r="BC108" i="4"/>
  <c r="BD85" i="4"/>
  <c r="BD108" i="4"/>
  <c r="BE85" i="4"/>
  <c r="BE108" i="4"/>
  <c r="BF85" i="4"/>
  <c r="BF108" i="4"/>
  <c r="BG85" i="4"/>
  <c r="BG108" i="4"/>
  <c r="BH85" i="4"/>
  <c r="BH108" i="4"/>
  <c r="BI85" i="4"/>
  <c r="BI108" i="4"/>
  <c r="BJ85" i="4"/>
  <c r="BJ108" i="4"/>
  <c r="BK85" i="4"/>
  <c r="BK108" i="4"/>
  <c r="BL85" i="4"/>
  <c r="BL108" i="4"/>
  <c r="BM85" i="4"/>
  <c r="BM108" i="4"/>
  <c r="BN85" i="4"/>
  <c r="BN108" i="4"/>
  <c r="BO85" i="4"/>
  <c r="BO108" i="4"/>
  <c r="BP85" i="4"/>
  <c r="BP108" i="4"/>
  <c r="BQ85" i="4"/>
  <c r="BQ108" i="4"/>
  <c r="AX86" i="4"/>
  <c r="AX109" i="4"/>
  <c r="AY86" i="4"/>
  <c r="AY109" i="4"/>
  <c r="AZ86" i="4"/>
  <c r="AZ109" i="4"/>
  <c r="BA86" i="4"/>
  <c r="BA109" i="4"/>
  <c r="BB86" i="4"/>
  <c r="BB109" i="4"/>
  <c r="BC86" i="4"/>
  <c r="BC109" i="4"/>
  <c r="BD86" i="4"/>
  <c r="BD109" i="4"/>
  <c r="BE86" i="4"/>
  <c r="BE109" i="4"/>
  <c r="BF86" i="4"/>
  <c r="BF109" i="4"/>
  <c r="BG86" i="4"/>
  <c r="BG109" i="4"/>
  <c r="BH86" i="4"/>
  <c r="BH109" i="4"/>
  <c r="BI86" i="4"/>
  <c r="BI109" i="4"/>
  <c r="BJ86" i="4"/>
  <c r="BJ109" i="4"/>
  <c r="BK86" i="4"/>
  <c r="BK109" i="4"/>
  <c r="BL86" i="4"/>
  <c r="BL109" i="4"/>
  <c r="BM86" i="4"/>
  <c r="BM109" i="4"/>
  <c r="BN86" i="4"/>
  <c r="BN109" i="4"/>
  <c r="BO86" i="4"/>
  <c r="BO109" i="4"/>
  <c r="BP86" i="4"/>
  <c r="BP109" i="4"/>
  <c r="BQ86" i="4"/>
  <c r="BQ109" i="4"/>
  <c r="AX87" i="4"/>
  <c r="AX110" i="4"/>
  <c r="AY87" i="4"/>
  <c r="AY110" i="4"/>
  <c r="AZ87" i="4"/>
  <c r="AZ110" i="4"/>
  <c r="BA87" i="4"/>
  <c r="BA110" i="4"/>
  <c r="BB87" i="4"/>
  <c r="BB110" i="4"/>
  <c r="BC87" i="4"/>
  <c r="BC110" i="4"/>
  <c r="BD87" i="4"/>
  <c r="BD110" i="4"/>
  <c r="BE87" i="4"/>
  <c r="BE110" i="4"/>
  <c r="BF87" i="4"/>
  <c r="BF110" i="4"/>
  <c r="BG87" i="4"/>
  <c r="BG110" i="4"/>
  <c r="BH87" i="4"/>
  <c r="BH110" i="4"/>
  <c r="BI87" i="4"/>
  <c r="BI110" i="4"/>
  <c r="BJ87" i="4"/>
  <c r="BJ110" i="4"/>
  <c r="BK87" i="4"/>
  <c r="BK110" i="4"/>
  <c r="BL87" i="4"/>
  <c r="BL110" i="4"/>
  <c r="BM87" i="4"/>
  <c r="BM110" i="4"/>
  <c r="BN87" i="4"/>
  <c r="BN110" i="4"/>
  <c r="BO87" i="4"/>
  <c r="BO110" i="4"/>
  <c r="BP87" i="4"/>
  <c r="BP110" i="4"/>
  <c r="BQ87" i="4"/>
  <c r="BQ110" i="4"/>
  <c r="AX88" i="4"/>
  <c r="AX111" i="4"/>
  <c r="AY88" i="4"/>
  <c r="AY111" i="4"/>
  <c r="AZ88" i="4"/>
  <c r="AZ111" i="4"/>
  <c r="BA88" i="4"/>
  <c r="BA111" i="4"/>
  <c r="BB88" i="4"/>
  <c r="BB111" i="4"/>
  <c r="BC88" i="4"/>
  <c r="BC111" i="4"/>
  <c r="BD88" i="4"/>
  <c r="BD111" i="4"/>
  <c r="BE88" i="4"/>
  <c r="BE111" i="4"/>
  <c r="BF88" i="4"/>
  <c r="BF111" i="4"/>
  <c r="BG88" i="4"/>
  <c r="BG111" i="4"/>
  <c r="BH88" i="4"/>
  <c r="BH111" i="4"/>
  <c r="BI88" i="4"/>
  <c r="BI111" i="4"/>
  <c r="BJ88" i="4"/>
  <c r="BJ111" i="4"/>
  <c r="BK88" i="4"/>
  <c r="BK111" i="4"/>
  <c r="BL88" i="4"/>
  <c r="BL111" i="4"/>
  <c r="BM88" i="4"/>
  <c r="BM111" i="4"/>
  <c r="BN88" i="4"/>
  <c r="BN111" i="4"/>
  <c r="BO88" i="4"/>
  <c r="BO111" i="4"/>
  <c r="BP88" i="4"/>
  <c r="BP111" i="4"/>
  <c r="BQ88" i="4"/>
  <c r="BQ111" i="4"/>
  <c r="AX89" i="4"/>
  <c r="AX112" i="4"/>
  <c r="AY89" i="4"/>
  <c r="AY112" i="4"/>
  <c r="AZ89" i="4"/>
  <c r="AZ112" i="4"/>
  <c r="BA89" i="4"/>
  <c r="BA112" i="4"/>
  <c r="BB89" i="4"/>
  <c r="BB112" i="4"/>
  <c r="BC89" i="4"/>
  <c r="BC112" i="4"/>
  <c r="BD89" i="4"/>
  <c r="BD112" i="4"/>
  <c r="BE89" i="4"/>
  <c r="BE112" i="4"/>
  <c r="BF89" i="4"/>
  <c r="BF112" i="4"/>
  <c r="BG89" i="4"/>
  <c r="BG112" i="4"/>
  <c r="BH89" i="4"/>
  <c r="BH112" i="4"/>
  <c r="BI89" i="4"/>
  <c r="BI112" i="4"/>
  <c r="BJ89" i="4"/>
  <c r="BJ112" i="4"/>
  <c r="BK89" i="4"/>
  <c r="BK112" i="4"/>
  <c r="BL89" i="4"/>
  <c r="BL112" i="4"/>
  <c r="BM89" i="4"/>
  <c r="BM112" i="4"/>
  <c r="BN89" i="4"/>
  <c r="BN112" i="4"/>
  <c r="BO89" i="4"/>
  <c r="BO112" i="4"/>
  <c r="BP89" i="4"/>
  <c r="BP112" i="4"/>
  <c r="BQ89" i="4"/>
  <c r="BQ112" i="4"/>
  <c r="AA90" i="4"/>
  <c r="AX90" i="4"/>
  <c r="AX113" i="4"/>
  <c r="AB90" i="4"/>
  <c r="AY90" i="4"/>
  <c r="AY113" i="4"/>
  <c r="AC90" i="4"/>
  <c r="AZ90" i="4"/>
  <c r="AZ113" i="4"/>
  <c r="AD90" i="4"/>
  <c r="BA90" i="4"/>
  <c r="BA113" i="4"/>
  <c r="AE90" i="4"/>
  <c r="BB90" i="4"/>
  <c r="BB113" i="4"/>
  <c r="AF90" i="4"/>
  <c r="BC90" i="4"/>
  <c r="BC113" i="4"/>
  <c r="AG90" i="4"/>
  <c r="BD90" i="4"/>
  <c r="BD113" i="4"/>
  <c r="AH90" i="4"/>
  <c r="BE90" i="4"/>
  <c r="BE113" i="4"/>
  <c r="AI90" i="4"/>
  <c r="BF90" i="4"/>
  <c r="BF113" i="4"/>
  <c r="AJ90" i="4"/>
  <c r="BG90" i="4"/>
  <c r="BG113" i="4"/>
  <c r="AK90" i="4"/>
  <c r="BH90" i="4"/>
  <c r="BH113" i="4"/>
  <c r="AL90" i="4"/>
  <c r="BI90" i="4"/>
  <c r="BI113" i="4"/>
  <c r="AM90" i="4"/>
  <c r="BJ90" i="4"/>
  <c r="BJ113" i="4"/>
  <c r="AN90" i="4"/>
  <c r="BK90" i="4"/>
  <c r="BK113" i="4"/>
  <c r="AO90" i="4"/>
  <c r="BL90" i="4"/>
  <c r="BL113" i="4"/>
  <c r="AP90" i="4"/>
  <c r="BM90" i="4"/>
  <c r="BM113" i="4"/>
  <c r="AQ90" i="4"/>
  <c r="BN90" i="4"/>
  <c r="BN113" i="4"/>
  <c r="AR90" i="4"/>
  <c r="BO90" i="4"/>
  <c r="BO113" i="4"/>
  <c r="AS90" i="4"/>
  <c r="BP90" i="4"/>
  <c r="BP113" i="4"/>
  <c r="AT90" i="4"/>
  <c r="BQ90" i="4"/>
  <c r="BQ113" i="4"/>
  <c r="B22" i="4"/>
  <c r="B18" i="4"/>
  <c r="G23" i="4"/>
  <c r="H23" i="4"/>
  <c r="K23" i="4"/>
  <c r="AA11" i="4" a="1"/>
  <c r="AA11" i="4"/>
  <c r="O23" i="4"/>
  <c r="AA38" i="4" a="1"/>
  <c r="AA38" i="4"/>
  <c r="AA72" i="4"/>
  <c r="G24" i="4"/>
  <c r="H24" i="4"/>
  <c r="K24" i="4"/>
  <c r="AB11" i="4" a="1"/>
  <c r="AB11" i="4"/>
  <c r="O24" i="4"/>
  <c r="AB38" i="4" a="1"/>
  <c r="AB38" i="4"/>
  <c r="AB72" i="4"/>
  <c r="G25" i="4"/>
  <c r="H25" i="4"/>
  <c r="K25" i="4"/>
  <c r="AC11" i="4" a="1"/>
  <c r="AC11" i="4"/>
  <c r="O25" i="4"/>
  <c r="AC38" i="4" a="1"/>
  <c r="AC38" i="4"/>
  <c r="AC72" i="4"/>
  <c r="G26" i="4"/>
  <c r="H26" i="4"/>
  <c r="K26" i="4"/>
  <c r="AD11" i="4" a="1"/>
  <c r="AD11" i="4"/>
  <c r="O26" i="4"/>
  <c r="AD38" i="4" a="1"/>
  <c r="AD38" i="4"/>
  <c r="AD72" i="4"/>
  <c r="G27" i="4"/>
  <c r="H27" i="4"/>
  <c r="K27" i="4"/>
  <c r="AE11" i="4" a="1"/>
  <c r="AE11" i="4"/>
  <c r="O27" i="4"/>
  <c r="AE38" i="4" a="1"/>
  <c r="AE38" i="4"/>
  <c r="AE72" i="4"/>
  <c r="G28" i="4"/>
  <c r="H28" i="4"/>
  <c r="K28" i="4"/>
  <c r="AF11" i="4" a="1"/>
  <c r="AF11" i="4"/>
  <c r="O28" i="4"/>
  <c r="AF38" i="4" a="1"/>
  <c r="AF38" i="4"/>
  <c r="AF72" i="4"/>
  <c r="G29" i="4"/>
  <c r="H29" i="4"/>
  <c r="K29" i="4"/>
  <c r="AG11" i="4" a="1"/>
  <c r="AG11" i="4"/>
  <c r="O29" i="4"/>
  <c r="AG38" i="4" a="1"/>
  <c r="AG38" i="4"/>
  <c r="AG72" i="4"/>
  <c r="G30" i="4"/>
  <c r="H30" i="4"/>
  <c r="K30" i="4"/>
  <c r="AH11" i="4" a="1"/>
  <c r="AH11" i="4"/>
  <c r="O30" i="4"/>
  <c r="AH38" i="4" a="1"/>
  <c r="AH38" i="4"/>
  <c r="AH72" i="4"/>
  <c r="G31" i="4"/>
  <c r="H31" i="4"/>
  <c r="K31" i="4"/>
  <c r="AI11" i="4" a="1"/>
  <c r="AI11" i="4"/>
  <c r="O31" i="4"/>
  <c r="AI38" i="4" a="1"/>
  <c r="AI38" i="4"/>
  <c r="AI72" i="4"/>
  <c r="G32" i="4"/>
  <c r="H32" i="4"/>
  <c r="K32" i="4"/>
  <c r="AJ11" i="4" a="1"/>
  <c r="AJ11" i="4"/>
  <c r="O32" i="4"/>
  <c r="AJ38" i="4" a="1"/>
  <c r="AJ38" i="4"/>
  <c r="AJ72" i="4"/>
  <c r="G33" i="4"/>
  <c r="H33" i="4"/>
  <c r="K33" i="4"/>
  <c r="AK11" i="4" a="1"/>
  <c r="AK11" i="4"/>
  <c r="O33" i="4"/>
  <c r="AK38" i="4" a="1"/>
  <c r="AK38" i="4"/>
  <c r="AK72" i="4"/>
  <c r="G34" i="4"/>
  <c r="H34" i="4"/>
  <c r="K34" i="4"/>
  <c r="AL11" i="4" a="1"/>
  <c r="AL11" i="4"/>
  <c r="O34" i="4"/>
  <c r="AL38" i="4" a="1"/>
  <c r="AL38" i="4"/>
  <c r="AL72" i="4"/>
  <c r="G35" i="4"/>
  <c r="H35" i="4"/>
  <c r="K35" i="4"/>
  <c r="AM11" i="4" a="1"/>
  <c r="AM11" i="4"/>
  <c r="O35" i="4"/>
  <c r="AM38" i="4" a="1"/>
  <c r="AM38" i="4"/>
  <c r="AM72" i="4"/>
  <c r="G36" i="4"/>
  <c r="H36" i="4"/>
  <c r="K36" i="4"/>
  <c r="AN11" i="4" a="1"/>
  <c r="AN11" i="4"/>
  <c r="O36" i="4"/>
  <c r="AN38" i="4" a="1"/>
  <c r="AN38" i="4"/>
  <c r="AN72" i="4"/>
  <c r="G37" i="4"/>
  <c r="H37" i="4"/>
  <c r="K37" i="4"/>
  <c r="AO11" i="4" a="1"/>
  <c r="AO11" i="4"/>
  <c r="O37" i="4"/>
  <c r="AO38" i="4" a="1"/>
  <c r="AO38" i="4"/>
  <c r="AO72" i="4"/>
  <c r="G38" i="4"/>
  <c r="H38" i="4"/>
  <c r="K38" i="4"/>
  <c r="AP11" i="4" a="1"/>
  <c r="AP11" i="4"/>
  <c r="O38" i="4"/>
  <c r="AP38" i="4" a="1"/>
  <c r="AP38" i="4"/>
  <c r="AP72" i="4"/>
  <c r="G39" i="4"/>
  <c r="H39" i="4"/>
  <c r="K39" i="4"/>
  <c r="AQ11" i="4" a="1"/>
  <c r="AQ11" i="4"/>
  <c r="O39" i="4"/>
  <c r="AQ38" i="4" a="1"/>
  <c r="AQ38" i="4"/>
  <c r="AQ72" i="4"/>
  <c r="G40" i="4"/>
  <c r="H40" i="4"/>
  <c r="K40" i="4"/>
  <c r="AR11" i="4" a="1"/>
  <c r="AR11" i="4"/>
  <c r="O40" i="4"/>
  <c r="AR38" i="4" a="1"/>
  <c r="AR38" i="4"/>
  <c r="AR72" i="4"/>
  <c r="G41" i="4"/>
  <c r="H41" i="4"/>
  <c r="K41" i="4"/>
  <c r="AS11" i="4" a="1"/>
  <c r="AS11" i="4"/>
  <c r="O41" i="4"/>
  <c r="AS38" i="4" a="1"/>
  <c r="AS38" i="4"/>
  <c r="AS72" i="4"/>
  <c r="G42" i="4"/>
  <c r="H42" i="4"/>
  <c r="K42" i="4"/>
  <c r="AT11" i="4" a="1"/>
  <c r="AT11" i="4"/>
  <c r="O42" i="4"/>
  <c r="AT38" i="4" a="1"/>
  <c r="AT38" i="4"/>
  <c r="AT72" i="4"/>
  <c r="G43" i="4"/>
  <c r="H43" i="4"/>
  <c r="K43" i="4"/>
  <c r="AA12" i="4" a="1"/>
  <c r="AA12" i="4"/>
  <c r="O43" i="4"/>
  <c r="AA39" i="4" a="1"/>
  <c r="AA39" i="4"/>
  <c r="AA73" i="4"/>
  <c r="G44" i="4"/>
  <c r="H44" i="4"/>
  <c r="K44" i="4"/>
  <c r="AB12" i="4" a="1"/>
  <c r="AB12" i="4"/>
  <c r="O44" i="4"/>
  <c r="AB39" i="4" a="1"/>
  <c r="AB39" i="4"/>
  <c r="AB73" i="4"/>
  <c r="G45" i="4"/>
  <c r="H45" i="4"/>
  <c r="K45" i="4"/>
  <c r="AC12" i="4" a="1"/>
  <c r="AC12" i="4"/>
  <c r="O45" i="4"/>
  <c r="AC39" i="4" a="1"/>
  <c r="AC39" i="4"/>
  <c r="AC73" i="4"/>
  <c r="G46" i="4"/>
  <c r="H46" i="4"/>
  <c r="K46" i="4"/>
  <c r="AD12" i="4" a="1"/>
  <c r="AD12" i="4"/>
  <c r="O46" i="4"/>
  <c r="AD39" i="4" a="1"/>
  <c r="AD39" i="4"/>
  <c r="AD73" i="4"/>
  <c r="G47" i="4"/>
  <c r="H47" i="4"/>
  <c r="K47" i="4"/>
  <c r="AE12" i="4" a="1"/>
  <c r="AE12" i="4"/>
  <c r="O47" i="4"/>
  <c r="AE39" i="4" a="1"/>
  <c r="AE39" i="4"/>
  <c r="AE73" i="4"/>
  <c r="G48" i="4"/>
  <c r="H48" i="4"/>
  <c r="K48" i="4"/>
  <c r="AF12" i="4" a="1"/>
  <c r="AF12" i="4"/>
  <c r="O48" i="4"/>
  <c r="AF39" i="4" a="1"/>
  <c r="AF39" i="4"/>
  <c r="AF73" i="4"/>
  <c r="G49" i="4"/>
  <c r="H49" i="4"/>
  <c r="K49" i="4"/>
  <c r="AG12" i="4" a="1"/>
  <c r="AG12" i="4"/>
  <c r="O49" i="4"/>
  <c r="AG39" i="4" a="1"/>
  <c r="AG39" i="4"/>
  <c r="AG73" i="4"/>
  <c r="G50" i="4"/>
  <c r="H50" i="4"/>
  <c r="K50" i="4"/>
  <c r="AH12" i="4" a="1"/>
  <c r="AH12" i="4"/>
  <c r="O50" i="4"/>
  <c r="AH39" i="4" a="1"/>
  <c r="AH39" i="4"/>
  <c r="AH73" i="4"/>
  <c r="G51" i="4"/>
  <c r="H51" i="4"/>
  <c r="K51" i="4"/>
  <c r="AI12" i="4" a="1"/>
  <c r="AI12" i="4"/>
  <c r="O51" i="4"/>
  <c r="AI39" i="4" a="1"/>
  <c r="AI39" i="4"/>
  <c r="AI73" i="4"/>
  <c r="G52" i="4"/>
  <c r="H52" i="4"/>
  <c r="K52" i="4"/>
  <c r="AJ12" i="4" a="1"/>
  <c r="AJ12" i="4"/>
  <c r="O52" i="4"/>
  <c r="AJ39" i="4" a="1"/>
  <c r="AJ39" i="4"/>
  <c r="AJ73" i="4"/>
  <c r="G53" i="4"/>
  <c r="H53" i="4"/>
  <c r="K53" i="4"/>
  <c r="AK12" i="4" a="1"/>
  <c r="AK12" i="4"/>
  <c r="O53" i="4"/>
  <c r="AK39" i="4" a="1"/>
  <c r="AK39" i="4"/>
  <c r="AK73" i="4"/>
  <c r="G54" i="4"/>
  <c r="H54" i="4"/>
  <c r="K54" i="4"/>
  <c r="AL12" i="4" a="1"/>
  <c r="AL12" i="4"/>
  <c r="O54" i="4"/>
  <c r="AL39" i="4" a="1"/>
  <c r="AL39" i="4"/>
  <c r="AL73" i="4"/>
  <c r="G55" i="4"/>
  <c r="H55" i="4"/>
  <c r="K55" i="4"/>
  <c r="AM12" i="4" a="1"/>
  <c r="AM12" i="4"/>
  <c r="O55" i="4"/>
  <c r="AM39" i="4" a="1"/>
  <c r="AM39" i="4"/>
  <c r="AM73" i="4"/>
  <c r="G56" i="4"/>
  <c r="H56" i="4"/>
  <c r="K56" i="4"/>
  <c r="AN12" i="4" a="1"/>
  <c r="AN12" i="4"/>
  <c r="O56" i="4"/>
  <c r="AN39" i="4" a="1"/>
  <c r="AN39" i="4"/>
  <c r="AN73" i="4"/>
  <c r="G57" i="4"/>
  <c r="H57" i="4"/>
  <c r="K57" i="4"/>
  <c r="AO12" i="4" a="1"/>
  <c r="AO12" i="4"/>
  <c r="O57" i="4"/>
  <c r="AO39" i="4" a="1"/>
  <c r="AO39" i="4"/>
  <c r="AO73" i="4"/>
  <c r="G58" i="4"/>
  <c r="H58" i="4"/>
  <c r="K58" i="4"/>
  <c r="AP12" i="4" a="1"/>
  <c r="AP12" i="4"/>
  <c r="O58" i="4"/>
  <c r="AP39" i="4" a="1"/>
  <c r="AP39" i="4"/>
  <c r="AP73" i="4"/>
  <c r="G59" i="4"/>
  <c r="H59" i="4"/>
  <c r="K59" i="4"/>
  <c r="AQ12" i="4" a="1"/>
  <c r="AQ12" i="4"/>
  <c r="O59" i="4"/>
  <c r="AQ39" i="4" a="1"/>
  <c r="AQ39" i="4"/>
  <c r="AQ73" i="4"/>
  <c r="G60" i="4"/>
  <c r="H60" i="4"/>
  <c r="K60" i="4"/>
  <c r="AR12" i="4" a="1"/>
  <c r="AR12" i="4"/>
  <c r="O60" i="4"/>
  <c r="AR39" i="4" a="1"/>
  <c r="AR39" i="4"/>
  <c r="AR73" i="4"/>
  <c r="G61" i="4"/>
  <c r="H61" i="4"/>
  <c r="K61" i="4"/>
  <c r="AS12" i="4" a="1"/>
  <c r="AS12" i="4"/>
  <c r="O61" i="4"/>
  <c r="AS39" i="4" a="1"/>
  <c r="AS39" i="4"/>
  <c r="AS73" i="4"/>
  <c r="G62" i="4"/>
  <c r="H62" i="4"/>
  <c r="K62" i="4"/>
  <c r="AT12" i="4" a="1"/>
  <c r="AT12" i="4"/>
  <c r="O62" i="4"/>
  <c r="AT39" i="4" a="1"/>
  <c r="AT39" i="4"/>
  <c r="AT73" i="4"/>
  <c r="G63" i="4"/>
  <c r="H63" i="4"/>
  <c r="K63" i="4"/>
  <c r="AA13" i="4" a="1"/>
  <c r="AA13" i="4"/>
  <c r="O63" i="4"/>
  <c r="AA40" i="4" a="1"/>
  <c r="AA40" i="4"/>
  <c r="AA74" i="4"/>
  <c r="G64" i="4"/>
  <c r="H64" i="4"/>
  <c r="K64" i="4"/>
  <c r="AB13" i="4" a="1"/>
  <c r="AB13" i="4"/>
  <c r="O64" i="4"/>
  <c r="AB40" i="4" a="1"/>
  <c r="AB40" i="4"/>
  <c r="AB74" i="4"/>
  <c r="G65" i="4"/>
  <c r="H65" i="4"/>
  <c r="K65" i="4"/>
  <c r="AC13" i="4" a="1"/>
  <c r="AC13" i="4"/>
  <c r="O65" i="4"/>
  <c r="AC40" i="4" a="1"/>
  <c r="AC40" i="4"/>
  <c r="AC74" i="4"/>
  <c r="G66" i="4"/>
  <c r="H66" i="4"/>
  <c r="K66" i="4"/>
  <c r="AD13" i="4" a="1"/>
  <c r="AD13" i="4"/>
  <c r="O66" i="4"/>
  <c r="AD40" i="4" a="1"/>
  <c r="AD40" i="4"/>
  <c r="AD74" i="4"/>
  <c r="G67" i="4"/>
  <c r="H67" i="4"/>
  <c r="K67" i="4"/>
  <c r="AE13" i="4" a="1"/>
  <c r="AE13" i="4"/>
  <c r="O67" i="4"/>
  <c r="AE40" i="4" a="1"/>
  <c r="AE40" i="4"/>
  <c r="AE74" i="4"/>
  <c r="G68" i="4"/>
  <c r="H68" i="4"/>
  <c r="K68" i="4"/>
  <c r="AF13" i="4" a="1"/>
  <c r="AF13" i="4"/>
  <c r="O68" i="4"/>
  <c r="AF40" i="4" a="1"/>
  <c r="AF40" i="4"/>
  <c r="AF74" i="4"/>
  <c r="G69" i="4"/>
  <c r="H69" i="4"/>
  <c r="K69" i="4"/>
  <c r="AG13" i="4" a="1"/>
  <c r="AG13" i="4"/>
  <c r="O69" i="4"/>
  <c r="AG40" i="4" a="1"/>
  <c r="AG40" i="4"/>
  <c r="AG74" i="4"/>
  <c r="G70" i="4"/>
  <c r="H70" i="4"/>
  <c r="K70" i="4"/>
  <c r="AH13" i="4" a="1"/>
  <c r="AH13" i="4"/>
  <c r="O70" i="4"/>
  <c r="AH40" i="4" a="1"/>
  <c r="AH40" i="4"/>
  <c r="AH74" i="4"/>
  <c r="G71" i="4"/>
  <c r="H71" i="4"/>
  <c r="K71" i="4"/>
  <c r="AI13" i="4" a="1"/>
  <c r="AI13" i="4"/>
  <c r="O71" i="4"/>
  <c r="AI40" i="4" a="1"/>
  <c r="AI40" i="4"/>
  <c r="AI74" i="4"/>
  <c r="G72" i="4"/>
  <c r="H72" i="4"/>
  <c r="K72" i="4"/>
  <c r="AJ13" i="4" a="1"/>
  <c r="AJ13" i="4"/>
  <c r="O72" i="4"/>
  <c r="AJ40" i="4" a="1"/>
  <c r="AJ40" i="4"/>
  <c r="AJ74" i="4"/>
  <c r="G73" i="4"/>
  <c r="H73" i="4"/>
  <c r="K73" i="4"/>
  <c r="AK13" i="4" a="1"/>
  <c r="AK13" i="4"/>
  <c r="O73" i="4"/>
  <c r="AK40" i="4" a="1"/>
  <c r="AK40" i="4"/>
  <c r="AK74" i="4"/>
  <c r="G74" i="4"/>
  <c r="H74" i="4"/>
  <c r="K74" i="4"/>
  <c r="AL13" i="4" a="1"/>
  <c r="AL13" i="4"/>
  <c r="O74" i="4"/>
  <c r="AL40" i="4" a="1"/>
  <c r="AL40" i="4"/>
  <c r="AL74" i="4"/>
  <c r="G75" i="4"/>
  <c r="H75" i="4"/>
  <c r="K75" i="4"/>
  <c r="AM13" i="4" a="1"/>
  <c r="AM13" i="4"/>
  <c r="O75" i="4"/>
  <c r="AM40" i="4" a="1"/>
  <c r="AM40" i="4"/>
  <c r="AM74" i="4"/>
  <c r="G76" i="4"/>
  <c r="H76" i="4"/>
  <c r="K76" i="4"/>
  <c r="AN13" i="4" a="1"/>
  <c r="AN13" i="4"/>
  <c r="O76" i="4"/>
  <c r="AN40" i="4" a="1"/>
  <c r="AN40" i="4"/>
  <c r="AN74" i="4"/>
  <c r="G77" i="4"/>
  <c r="H77" i="4"/>
  <c r="K77" i="4"/>
  <c r="AO13" i="4" a="1"/>
  <c r="AO13" i="4"/>
  <c r="O77" i="4"/>
  <c r="AO40" i="4" a="1"/>
  <c r="AO40" i="4"/>
  <c r="AO74" i="4"/>
  <c r="G78" i="4"/>
  <c r="H78" i="4"/>
  <c r="K78" i="4"/>
  <c r="AP13" i="4" a="1"/>
  <c r="AP13" i="4"/>
  <c r="O78" i="4"/>
  <c r="AP40" i="4" a="1"/>
  <c r="AP40" i="4"/>
  <c r="AP74" i="4"/>
  <c r="G79" i="4"/>
  <c r="H79" i="4"/>
  <c r="K79" i="4"/>
  <c r="AQ13" i="4" a="1"/>
  <c r="AQ13" i="4"/>
  <c r="O79" i="4"/>
  <c r="AQ40" i="4" a="1"/>
  <c r="AQ40" i="4"/>
  <c r="AQ74" i="4"/>
  <c r="G80" i="4"/>
  <c r="H80" i="4"/>
  <c r="K80" i="4"/>
  <c r="AR13" i="4" a="1"/>
  <c r="AR13" i="4"/>
  <c r="O80" i="4"/>
  <c r="AR40" i="4" a="1"/>
  <c r="AR40" i="4"/>
  <c r="AR74" i="4"/>
  <c r="G81" i="4"/>
  <c r="H81" i="4"/>
  <c r="K81" i="4"/>
  <c r="AS13" i="4" a="1"/>
  <c r="AS13" i="4"/>
  <c r="O81" i="4"/>
  <c r="AS40" i="4" a="1"/>
  <c r="AS40" i="4"/>
  <c r="AS74" i="4"/>
  <c r="G82" i="4"/>
  <c r="H82" i="4"/>
  <c r="K82" i="4"/>
  <c r="AT13" i="4" a="1"/>
  <c r="AT13" i="4"/>
  <c r="O82" i="4"/>
  <c r="AT40" i="4" a="1"/>
  <c r="AT40" i="4"/>
  <c r="AT74" i="4"/>
  <c r="G83" i="4"/>
  <c r="H83" i="4"/>
  <c r="K83" i="4"/>
  <c r="AA14" i="4" a="1"/>
  <c r="AA14" i="4"/>
  <c r="O83" i="4"/>
  <c r="AA41" i="4" a="1"/>
  <c r="AA41" i="4"/>
  <c r="AA75" i="4"/>
  <c r="G84" i="4"/>
  <c r="H84" i="4"/>
  <c r="K84" i="4"/>
  <c r="AB14" i="4" a="1"/>
  <c r="AB14" i="4"/>
  <c r="O84" i="4"/>
  <c r="AB41" i="4" a="1"/>
  <c r="AB41" i="4"/>
  <c r="AB75" i="4"/>
  <c r="G85" i="4"/>
  <c r="H85" i="4"/>
  <c r="K85" i="4"/>
  <c r="AC14" i="4" a="1"/>
  <c r="AC14" i="4"/>
  <c r="O85" i="4"/>
  <c r="AC41" i="4" a="1"/>
  <c r="AC41" i="4"/>
  <c r="AC75" i="4"/>
  <c r="G86" i="4"/>
  <c r="H86" i="4"/>
  <c r="K86" i="4"/>
  <c r="AD14" i="4" a="1"/>
  <c r="AD14" i="4"/>
  <c r="O86" i="4"/>
  <c r="AD41" i="4" a="1"/>
  <c r="AD41" i="4"/>
  <c r="AD75" i="4"/>
  <c r="G87" i="4"/>
  <c r="H87" i="4"/>
  <c r="K87" i="4"/>
  <c r="AE14" i="4" a="1"/>
  <c r="AE14" i="4"/>
  <c r="O87" i="4"/>
  <c r="AE41" i="4" a="1"/>
  <c r="AE41" i="4"/>
  <c r="AE75" i="4"/>
  <c r="G88" i="4"/>
  <c r="H88" i="4"/>
  <c r="K88" i="4"/>
  <c r="AF14" i="4" a="1"/>
  <c r="AF14" i="4"/>
  <c r="O88" i="4"/>
  <c r="AF41" i="4" a="1"/>
  <c r="AF41" i="4"/>
  <c r="AF75" i="4"/>
  <c r="G89" i="4"/>
  <c r="H89" i="4"/>
  <c r="K89" i="4"/>
  <c r="AG14" i="4" a="1"/>
  <c r="AG14" i="4"/>
  <c r="O89" i="4"/>
  <c r="AG41" i="4" a="1"/>
  <c r="AG41" i="4"/>
  <c r="AG75" i="4"/>
  <c r="G90" i="4"/>
  <c r="H90" i="4"/>
  <c r="K90" i="4"/>
  <c r="AH14" i="4" a="1"/>
  <c r="AH14" i="4"/>
  <c r="O90" i="4"/>
  <c r="AH41" i="4" a="1"/>
  <c r="AH41" i="4"/>
  <c r="AH75" i="4"/>
  <c r="G91" i="4"/>
  <c r="H91" i="4"/>
  <c r="K91" i="4"/>
  <c r="AI14" i="4" a="1"/>
  <c r="AI14" i="4"/>
  <c r="O91" i="4"/>
  <c r="AI41" i="4" a="1"/>
  <c r="AI41" i="4"/>
  <c r="AI75" i="4"/>
  <c r="G92" i="4"/>
  <c r="H92" i="4"/>
  <c r="K92" i="4"/>
  <c r="AJ14" i="4" a="1"/>
  <c r="AJ14" i="4"/>
  <c r="O92" i="4"/>
  <c r="AJ41" i="4" a="1"/>
  <c r="AJ41" i="4"/>
  <c r="AJ75" i="4"/>
  <c r="G93" i="4"/>
  <c r="H93" i="4"/>
  <c r="K93" i="4"/>
  <c r="AK14" i="4" a="1"/>
  <c r="AK14" i="4"/>
  <c r="O93" i="4"/>
  <c r="AK41" i="4" a="1"/>
  <c r="AK41" i="4"/>
  <c r="AK75" i="4"/>
  <c r="G94" i="4"/>
  <c r="H94" i="4"/>
  <c r="K94" i="4"/>
  <c r="AL14" i="4" a="1"/>
  <c r="AL14" i="4"/>
  <c r="O94" i="4"/>
  <c r="AL41" i="4" a="1"/>
  <c r="AL41" i="4"/>
  <c r="AL75" i="4"/>
  <c r="G95" i="4"/>
  <c r="H95" i="4"/>
  <c r="K95" i="4"/>
  <c r="AM14" i="4" a="1"/>
  <c r="AM14" i="4"/>
  <c r="O95" i="4"/>
  <c r="AM41" i="4" a="1"/>
  <c r="AM41" i="4"/>
  <c r="AM75" i="4"/>
  <c r="G96" i="4"/>
  <c r="H96" i="4"/>
  <c r="K96" i="4"/>
  <c r="AN14" i="4" a="1"/>
  <c r="AN14" i="4"/>
  <c r="O96" i="4"/>
  <c r="AN41" i="4" a="1"/>
  <c r="AN41" i="4"/>
  <c r="AN75" i="4"/>
  <c r="G97" i="4"/>
  <c r="H97" i="4"/>
  <c r="K97" i="4"/>
  <c r="AO14" i="4" a="1"/>
  <c r="AO14" i="4"/>
  <c r="O97" i="4"/>
  <c r="AO41" i="4" a="1"/>
  <c r="AO41" i="4"/>
  <c r="AO75" i="4"/>
  <c r="G98" i="4"/>
  <c r="H98" i="4"/>
  <c r="K98" i="4"/>
  <c r="AP14" i="4" a="1"/>
  <c r="AP14" i="4"/>
  <c r="O98" i="4"/>
  <c r="AP41" i="4" a="1"/>
  <c r="AP41" i="4"/>
  <c r="AP75" i="4"/>
  <c r="G99" i="4"/>
  <c r="H99" i="4"/>
  <c r="K99" i="4"/>
  <c r="AQ14" i="4" a="1"/>
  <c r="AQ14" i="4"/>
  <c r="O99" i="4"/>
  <c r="AQ41" i="4" a="1"/>
  <c r="AQ41" i="4"/>
  <c r="AQ75" i="4"/>
  <c r="G100" i="4"/>
  <c r="H100" i="4"/>
  <c r="K100" i="4"/>
  <c r="AR14" i="4" a="1"/>
  <c r="AR14" i="4"/>
  <c r="O100" i="4"/>
  <c r="AR41" i="4" a="1"/>
  <c r="AR41" i="4"/>
  <c r="AR75" i="4"/>
  <c r="G101" i="4"/>
  <c r="H101" i="4"/>
  <c r="K101" i="4"/>
  <c r="AS14" i="4" a="1"/>
  <c r="AS14" i="4"/>
  <c r="O101" i="4"/>
  <c r="AS41" i="4" a="1"/>
  <c r="AS41" i="4"/>
  <c r="AS75" i="4"/>
  <c r="G102" i="4"/>
  <c r="H102" i="4"/>
  <c r="K102" i="4"/>
  <c r="AT14" i="4" a="1"/>
  <c r="AT14" i="4"/>
  <c r="O102" i="4"/>
  <c r="AT41" i="4" a="1"/>
  <c r="AT41" i="4"/>
  <c r="AT75" i="4"/>
  <c r="G103" i="4"/>
  <c r="H103" i="4"/>
  <c r="K103" i="4"/>
  <c r="AA15" i="4" a="1"/>
  <c r="AA15" i="4"/>
  <c r="O103" i="4"/>
  <c r="AA42" i="4" a="1"/>
  <c r="AA42" i="4"/>
  <c r="AA76" i="4"/>
  <c r="G104" i="4"/>
  <c r="H104" i="4"/>
  <c r="K104" i="4"/>
  <c r="AB15" i="4" a="1"/>
  <c r="AB15" i="4"/>
  <c r="O104" i="4"/>
  <c r="AB42" i="4" a="1"/>
  <c r="AB42" i="4"/>
  <c r="AB76" i="4"/>
  <c r="G105" i="4"/>
  <c r="H105" i="4"/>
  <c r="K105" i="4"/>
  <c r="AC15" i="4" a="1"/>
  <c r="AC15" i="4"/>
  <c r="O105" i="4"/>
  <c r="AC42" i="4" a="1"/>
  <c r="AC42" i="4"/>
  <c r="AC76" i="4"/>
  <c r="G106" i="4"/>
  <c r="H106" i="4"/>
  <c r="K106" i="4"/>
  <c r="AD15" i="4" a="1"/>
  <c r="AD15" i="4"/>
  <c r="O106" i="4"/>
  <c r="AD42" i="4" a="1"/>
  <c r="AD42" i="4"/>
  <c r="AD76" i="4"/>
  <c r="G107" i="4"/>
  <c r="H107" i="4"/>
  <c r="K107" i="4"/>
  <c r="AE15" i="4" a="1"/>
  <c r="AE15" i="4"/>
  <c r="O107" i="4"/>
  <c r="AE42" i="4" a="1"/>
  <c r="AE42" i="4"/>
  <c r="AE76" i="4"/>
  <c r="G108" i="4"/>
  <c r="H108" i="4"/>
  <c r="K108" i="4"/>
  <c r="AF15" i="4" a="1"/>
  <c r="AF15" i="4"/>
  <c r="O108" i="4"/>
  <c r="AF42" i="4" a="1"/>
  <c r="AF42" i="4"/>
  <c r="AF76" i="4"/>
  <c r="G109" i="4"/>
  <c r="H109" i="4"/>
  <c r="K109" i="4"/>
  <c r="AG15" i="4" a="1"/>
  <c r="AG15" i="4"/>
  <c r="O109" i="4"/>
  <c r="AG42" i="4" a="1"/>
  <c r="AG42" i="4"/>
  <c r="AG76" i="4"/>
  <c r="G110" i="4"/>
  <c r="H110" i="4"/>
  <c r="K110" i="4"/>
  <c r="AH15" i="4" a="1"/>
  <c r="AH15" i="4"/>
  <c r="O110" i="4"/>
  <c r="AH42" i="4" a="1"/>
  <c r="AH42" i="4"/>
  <c r="AH76" i="4"/>
  <c r="G111" i="4"/>
  <c r="H111" i="4"/>
  <c r="K111" i="4"/>
  <c r="AI15" i="4" a="1"/>
  <c r="AI15" i="4"/>
  <c r="O111" i="4"/>
  <c r="AI42" i="4" a="1"/>
  <c r="AI42" i="4"/>
  <c r="AI76" i="4"/>
  <c r="G112" i="4"/>
  <c r="H112" i="4"/>
  <c r="K112" i="4"/>
  <c r="AJ15" i="4" a="1"/>
  <c r="AJ15" i="4"/>
  <c r="O112" i="4"/>
  <c r="AJ42" i="4" a="1"/>
  <c r="AJ42" i="4"/>
  <c r="AJ76" i="4"/>
  <c r="G113" i="4"/>
  <c r="H113" i="4"/>
  <c r="K113" i="4"/>
  <c r="AK15" i="4" a="1"/>
  <c r="AK15" i="4"/>
  <c r="O113" i="4"/>
  <c r="AK42" i="4" a="1"/>
  <c r="AK42" i="4"/>
  <c r="AK76" i="4"/>
  <c r="G114" i="4"/>
  <c r="H114" i="4"/>
  <c r="K114" i="4"/>
  <c r="AL15" i="4" a="1"/>
  <c r="AL15" i="4"/>
  <c r="O114" i="4"/>
  <c r="AL42" i="4" a="1"/>
  <c r="AL42" i="4"/>
  <c r="AL76" i="4"/>
  <c r="G115" i="4"/>
  <c r="H115" i="4"/>
  <c r="K115" i="4"/>
  <c r="AM15" i="4" a="1"/>
  <c r="AM15" i="4"/>
  <c r="O115" i="4"/>
  <c r="AM42" i="4" a="1"/>
  <c r="AM42" i="4"/>
  <c r="AM76" i="4"/>
  <c r="G116" i="4"/>
  <c r="H116" i="4"/>
  <c r="K116" i="4"/>
  <c r="AN15" i="4" a="1"/>
  <c r="AN15" i="4"/>
  <c r="O116" i="4"/>
  <c r="AN42" i="4" a="1"/>
  <c r="AN42" i="4"/>
  <c r="AN76" i="4"/>
  <c r="G117" i="4"/>
  <c r="H117" i="4"/>
  <c r="K117" i="4"/>
  <c r="AO15" i="4" a="1"/>
  <c r="AO15" i="4"/>
  <c r="O117" i="4"/>
  <c r="AO42" i="4" a="1"/>
  <c r="AO42" i="4"/>
  <c r="AO76" i="4"/>
  <c r="G118" i="4"/>
  <c r="H118" i="4"/>
  <c r="K118" i="4"/>
  <c r="AP15" i="4" a="1"/>
  <c r="AP15" i="4"/>
  <c r="O118" i="4"/>
  <c r="AP42" i="4" a="1"/>
  <c r="AP42" i="4"/>
  <c r="AP76" i="4"/>
  <c r="G119" i="4"/>
  <c r="H119" i="4"/>
  <c r="K119" i="4"/>
  <c r="AQ15" i="4" a="1"/>
  <c r="AQ15" i="4"/>
  <c r="O119" i="4"/>
  <c r="AQ42" i="4" a="1"/>
  <c r="AQ42" i="4"/>
  <c r="AQ76" i="4"/>
  <c r="G120" i="4"/>
  <c r="H120" i="4"/>
  <c r="K120" i="4"/>
  <c r="AR15" i="4" a="1"/>
  <c r="AR15" i="4"/>
  <c r="O120" i="4"/>
  <c r="AR42" i="4" a="1"/>
  <c r="AR42" i="4"/>
  <c r="AR76" i="4"/>
  <c r="G121" i="4"/>
  <c r="H121" i="4"/>
  <c r="K121" i="4"/>
  <c r="AS15" i="4" a="1"/>
  <c r="AS15" i="4"/>
  <c r="O121" i="4"/>
  <c r="AS42" i="4" a="1"/>
  <c r="AS42" i="4"/>
  <c r="AS76" i="4"/>
  <c r="G122" i="4"/>
  <c r="H122" i="4"/>
  <c r="K122" i="4"/>
  <c r="AT15" i="4" a="1"/>
  <c r="AT15" i="4"/>
  <c r="O122" i="4"/>
  <c r="AT42" i="4" a="1"/>
  <c r="AT42" i="4"/>
  <c r="AT76" i="4"/>
  <c r="G123" i="4"/>
  <c r="H123" i="4"/>
  <c r="K123" i="4"/>
  <c r="AA16" i="4" a="1"/>
  <c r="AA16" i="4"/>
  <c r="O123" i="4"/>
  <c r="AA43" i="4" a="1"/>
  <c r="AA43" i="4"/>
  <c r="G124" i="4"/>
  <c r="H124" i="4"/>
  <c r="K124" i="4"/>
  <c r="AB16" i="4" a="1"/>
  <c r="AB16" i="4"/>
  <c r="O124" i="4"/>
  <c r="AB43" i="4" a="1"/>
  <c r="AB43" i="4"/>
  <c r="G125" i="4"/>
  <c r="H125" i="4"/>
  <c r="K125" i="4"/>
  <c r="AC16" i="4" a="1"/>
  <c r="AC16" i="4"/>
  <c r="O125" i="4"/>
  <c r="AC43" i="4" a="1"/>
  <c r="AC43" i="4"/>
  <c r="G126" i="4"/>
  <c r="H126" i="4"/>
  <c r="K126" i="4"/>
  <c r="AD16" i="4" a="1"/>
  <c r="AD16" i="4"/>
  <c r="O126" i="4"/>
  <c r="AD43" i="4" a="1"/>
  <c r="AD43" i="4"/>
  <c r="G127" i="4"/>
  <c r="H127" i="4"/>
  <c r="K127" i="4"/>
  <c r="AE16" i="4" a="1"/>
  <c r="AE16" i="4"/>
  <c r="O127" i="4"/>
  <c r="AE43" i="4" a="1"/>
  <c r="AE43" i="4"/>
  <c r="G128" i="4"/>
  <c r="H128" i="4"/>
  <c r="K128" i="4"/>
  <c r="AF16" i="4" a="1"/>
  <c r="AF16" i="4"/>
  <c r="O128" i="4"/>
  <c r="AF43" i="4" a="1"/>
  <c r="AF43" i="4"/>
  <c r="G129" i="4"/>
  <c r="H129" i="4"/>
  <c r="K129" i="4"/>
  <c r="AG16" i="4" a="1"/>
  <c r="AG16" i="4"/>
  <c r="O129" i="4"/>
  <c r="AG43" i="4" a="1"/>
  <c r="AG43" i="4"/>
  <c r="G130" i="4"/>
  <c r="H130" i="4"/>
  <c r="K130" i="4"/>
  <c r="AH16" i="4" a="1"/>
  <c r="AH16" i="4"/>
  <c r="O130" i="4"/>
  <c r="AH43" i="4" a="1"/>
  <c r="AH43" i="4"/>
  <c r="G131" i="4"/>
  <c r="H131" i="4"/>
  <c r="K131" i="4"/>
  <c r="AI16" i="4" a="1"/>
  <c r="AI16" i="4"/>
  <c r="O131" i="4"/>
  <c r="AI43" i="4" a="1"/>
  <c r="AI43" i="4"/>
  <c r="G132" i="4"/>
  <c r="H132" i="4"/>
  <c r="K132" i="4"/>
  <c r="AJ16" i="4" a="1"/>
  <c r="AJ16" i="4"/>
  <c r="O132" i="4"/>
  <c r="AJ43" i="4" a="1"/>
  <c r="AJ43" i="4"/>
  <c r="G133" i="4"/>
  <c r="H133" i="4"/>
  <c r="K133" i="4"/>
  <c r="AK16" i="4" a="1"/>
  <c r="AK16" i="4"/>
  <c r="O133" i="4"/>
  <c r="AK43" i="4" a="1"/>
  <c r="AK43" i="4"/>
  <c r="G134" i="4"/>
  <c r="H134" i="4"/>
  <c r="K134" i="4"/>
  <c r="AL16" i="4" a="1"/>
  <c r="AL16" i="4"/>
  <c r="O134" i="4"/>
  <c r="AL43" i="4" a="1"/>
  <c r="AL43" i="4"/>
  <c r="G135" i="4"/>
  <c r="H135" i="4"/>
  <c r="K135" i="4"/>
  <c r="AM16" i="4" a="1"/>
  <c r="AM16" i="4"/>
  <c r="O135" i="4"/>
  <c r="AM43" i="4" a="1"/>
  <c r="AM43" i="4"/>
  <c r="G136" i="4"/>
  <c r="H136" i="4"/>
  <c r="K136" i="4"/>
  <c r="AN16" i="4" a="1"/>
  <c r="AN16" i="4"/>
  <c r="O136" i="4"/>
  <c r="AN43" i="4" a="1"/>
  <c r="AN43" i="4"/>
  <c r="G137" i="4"/>
  <c r="H137" i="4"/>
  <c r="K137" i="4"/>
  <c r="AO16" i="4" a="1"/>
  <c r="AO16" i="4"/>
  <c r="O137" i="4"/>
  <c r="AO43" i="4" a="1"/>
  <c r="AO43" i="4"/>
  <c r="G138" i="4"/>
  <c r="H138" i="4"/>
  <c r="K138" i="4"/>
  <c r="AP16" i="4" a="1"/>
  <c r="AP16" i="4"/>
  <c r="O138" i="4"/>
  <c r="AP43" i="4" a="1"/>
  <c r="AP43" i="4"/>
  <c r="G139" i="4"/>
  <c r="H139" i="4"/>
  <c r="K139" i="4"/>
  <c r="AQ16" i="4" a="1"/>
  <c r="AQ16" i="4"/>
  <c r="O139" i="4"/>
  <c r="AQ43" i="4" a="1"/>
  <c r="AQ43" i="4"/>
  <c r="G140" i="4"/>
  <c r="H140" i="4"/>
  <c r="K140" i="4"/>
  <c r="AR16" i="4" a="1"/>
  <c r="AR16" i="4"/>
  <c r="O140" i="4"/>
  <c r="AR43" i="4" a="1"/>
  <c r="AR43" i="4"/>
  <c r="G141" i="4"/>
  <c r="H141" i="4"/>
  <c r="K141" i="4"/>
  <c r="AS16" i="4" a="1"/>
  <c r="AS16" i="4"/>
  <c r="O141" i="4"/>
  <c r="AS43" i="4" a="1"/>
  <c r="AS43" i="4"/>
  <c r="G142" i="4"/>
  <c r="H142" i="4"/>
  <c r="K142" i="4"/>
  <c r="AT16" i="4" a="1"/>
  <c r="AT16" i="4"/>
  <c r="O142" i="4"/>
  <c r="AT43" i="4" a="1"/>
  <c r="AT43" i="4"/>
  <c r="G143" i="4"/>
  <c r="H143" i="4"/>
  <c r="K143" i="4"/>
  <c r="AA17" i="4" a="1"/>
  <c r="AA17" i="4"/>
  <c r="O143" i="4"/>
  <c r="AA44" i="4" a="1"/>
  <c r="AA44" i="4"/>
  <c r="AA78" i="4"/>
  <c r="G144" i="4"/>
  <c r="H144" i="4"/>
  <c r="K144" i="4"/>
  <c r="AB17" i="4" a="1"/>
  <c r="AB17" i="4"/>
  <c r="O144" i="4"/>
  <c r="AB44" i="4" a="1"/>
  <c r="AB44" i="4"/>
  <c r="AB78" i="4"/>
  <c r="G145" i="4"/>
  <c r="H145" i="4"/>
  <c r="K145" i="4"/>
  <c r="AC17" i="4" a="1"/>
  <c r="AC17" i="4"/>
  <c r="O145" i="4"/>
  <c r="AC44" i="4" a="1"/>
  <c r="AC44" i="4"/>
  <c r="AC78" i="4"/>
  <c r="G146" i="4"/>
  <c r="H146" i="4"/>
  <c r="K146" i="4"/>
  <c r="AD17" i="4" a="1"/>
  <c r="AD17" i="4"/>
  <c r="O146" i="4"/>
  <c r="AD44" i="4" a="1"/>
  <c r="AD44" i="4"/>
  <c r="AD78" i="4"/>
  <c r="G147" i="4"/>
  <c r="H147" i="4"/>
  <c r="K147" i="4"/>
  <c r="AE17" i="4" a="1"/>
  <c r="AE17" i="4"/>
  <c r="O147" i="4"/>
  <c r="AE44" i="4" a="1"/>
  <c r="AE44" i="4"/>
  <c r="AE78" i="4"/>
  <c r="G148" i="4"/>
  <c r="H148" i="4"/>
  <c r="K148" i="4"/>
  <c r="AF17" i="4" a="1"/>
  <c r="AF17" i="4"/>
  <c r="O148" i="4"/>
  <c r="AF44" i="4" a="1"/>
  <c r="AF44" i="4"/>
  <c r="AF78" i="4"/>
  <c r="G149" i="4"/>
  <c r="H149" i="4"/>
  <c r="K149" i="4"/>
  <c r="AG17" i="4" a="1"/>
  <c r="AG17" i="4"/>
  <c r="O149" i="4"/>
  <c r="AG44" i="4" a="1"/>
  <c r="AG44" i="4"/>
  <c r="AG78" i="4"/>
  <c r="G150" i="4"/>
  <c r="H150" i="4"/>
  <c r="K150" i="4"/>
  <c r="AH17" i="4" a="1"/>
  <c r="AH17" i="4"/>
  <c r="O150" i="4"/>
  <c r="AH44" i="4" a="1"/>
  <c r="AH44" i="4"/>
  <c r="AH78" i="4"/>
  <c r="G151" i="4"/>
  <c r="H151" i="4"/>
  <c r="K151" i="4"/>
  <c r="AI17" i="4" a="1"/>
  <c r="AI17" i="4"/>
  <c r="O151" i="4"/>
  <c r="AI44" i="4" a="1"/>
  <c r="AI44" i="4"/>
  <c r="AI78" i="4"/>
  <c r="G152" i="4"/>
  <c r="H152" i="4"/>
  <c r="K152" i="4"/>
  <c r="AJ17" i="4" a="1"/>
  <c r="AJ17" i="4"/>
  <c r="O152" i="4"/>
  <c r="AJ44" i="4" a="1"/>
  <c r="AJ44" i="4"/>
  <c r="AJ78" i="4"/>
  <c r="G153" i="4"/>
  <c r="H153" i="4"/>
  <c r="K153" i="4"/>
  <c r="AK17" i="4" a="1"/>
  <c r="AK17" i="4"/>
  <c r="O153" i="4"/>
  <c r="AK44" i="4" a="1"/>
  <c r="AK44" i="4"/>
  <c r="AK78" i="4"/>
  <c r="G154" i="4"/>
  <c r="H154" i="4"/>
  <c r="K154" i="4"/>
  <c r="AL17" i="4" a="1"/>
  <c r="AL17" i="4"/>
  <c r="O154" i="4"/>
  <c r="AL44" i="4" a="1"/>
  <c r="AL44" i="4"/>
  <c r="AL78" i="4"/>
  <c r="G155" i="4"/>
  <c r="H155" i="4"/>
  <c r="K155" i="4"/>
  <c r="AM17" i="4" a="1"/>
  <c r="AM17" i="4"/>
  <c r="O155" i="4"/>
  <c r="AM44" i="4" a="1"/>
  <c r="AM44" i="4"/>
  <c r="AM78" i="4"/>
  <c r="G156" i="4"/>
  <c r="H156" i="4"/>
  <c r="K156" i="4"/>
  <c r="AN17" i="4" a="1"/>
  <c r="AN17" i="4"/>
  <c r="O156" i="4"/>
  <c r="AN44" i="4" a="1"/>
  <c r="AN44" i="4"/>
  <c r="AN78" i="4"/>
  <c r="G157" i="4"/>
  <c r="H157" i="4"/>
  <c r="K157" i="4"/>
  <c r="AO17" i="4" a="1"/>
  <c r="AO17" i="4"/>
  <c r="O157" i="4"/>
  <c r="AO44" i="4" a="1"/>
  <c r="AO44" i="4"/>
  <c r="AO78" i="4"/>
  <c r="G158" i="4"/>
  <c r="H158" i="4"/>
  <c r="K158" i="4"/>
  <c r="AP17" i="4" a="1"/>
  <c r="AP17" i="4"/>
  <c r="O158" i="4"/>
  <c r="AP44" i="4" a="1"/>
  <c r="AP44" i="4"/>
  <c r="AP78" i="4"/>
  <c r="G159" i="4"/>
  <c r="H159" i="4"/>
  <c r="K159" i="4"/>
  <c r="AQ17" i="4" a="1"/>
  <c r="AQ17" i="4"/>
  <c r="O159" i="4"/>
  <c r="AQ44" i="4" a="1"/>
  <c r="AQ44" i="4"/>
  <c r="AQ78" i="4"/>
  <c r="G160" i="4"/>
  <c r="H160" i="4"/>
  <c r="K160" i="4"/>
  <c r="AR17" i="4" a="1"/>
  <c r="AR17" i="4"/>
  <c r="O160" i="4"/>
  <c r="AR44" i="4" a="1"/>
  <c r="AR44" i="4"/>
  <c r="AR78" i="4"/>
  <c r="G161" i="4"/>
  <c r="H161" i="4"/>
  <c r="K161" i="4"/>
  <c r="AS17" i="4" a="1"/>
  <c r="AS17" i="4"/>
  <c r="O161" i="4"/>
  <c r="AS44" i="4" a="1"/>
  <c r="AS44" i="4"/>
  <c r="AS78" i="4"/>
  <c r="G162" i="4"/>
  <c r="H162" i="4"/>
  <c r="K162" i="4"/>
  <c r="AT17" i="4" a="1"/>
  <c r="AT17" i="4"/>
  <c r="O162" i="4"/>
  <c r="AT44" i="4" a="1"/>
  <c r="AT44" i="4"/>
  <c r="AT78" i="4"/>
  <c r="G163" i="4"/>
  <c r="H163" i="4"/>
  <c r="K163" i="4"/>
  <c r="AA18" i="4" a="1"/>
  <c r="AA18" i="4"/>
  <c r="O163" i="4"/>
  <c r="AA45" i="4" a="1"/>
  <c r="AA45" i="4"/>
  <c r="AA79" i="4"/>
  <c r="G164" i="4"/>
  <c r="H164" i="4"/>
  <c r="K164" i="4"/>
  <c r="AB18" i="4" a="1"/>
  <c r="AB18" i="4"/>
  <c r="O164" i="4"/>
  <c r="AB45" i="4" a="1"/>
  <c r="AB45" i="4"/>
  <c r="AB79" i="4"/>
  <c r="G165" i="4"/>
  <c r="H165" i="4"/>
  <c r="K165" i="4"/>
  <c r="AC18" i="4" a="1"/>
  <c r="AC18" i="4"/>
  <c r="O165" i="4"/>
  <c r="AC45" i="4" a="1"/>
  <c r="AC45" i="4"/>
  <c r="AC79" i="4"/>
  <c r="G166" i="4"/>
  <c r="H166" i="4"/>
  <c r="K166" i="4"/>
  <c r="AD18" i="4" a="1"/>
  <c r="AD18" i="4"/>
  <c r="O166" i="4"/>
  <c r="AD45" i="4" a="1"/>
  <c r="AD45" i="4"/>
  <c r="AD79" i="4"/>
  <c r="G167" i="4"/>
  <c r="H167" i="4"/>
  <c r="K167" i="4"/>
  <c r="AE18" i="4" a="1"/>
  <c r="AE18" i="4"/>
  <c r="O167" i="4"/>
  <c r="AE45" i="4" a="1"/>
  <c r="AE45" i="4"/>
  <c r="AE79" i="4"/>
  <c r="G168" i="4"/>
  <c r="H168" i="4"/>
  <c r="K168" i="4"/>
  <c r="AF18" i="4" a="1"/>
  <c r="AF18" i="4"/>
  <c r="O168" i="4"/>
  <c r="AF45" i="4" a="1"/>
  <c r="AF45" i="4"/>
  <c r="AF79" i="4"/>
  <c r="G169" i="4"/>
  <c r="H169" i="4"/>
  <c r="K169" i="4"/>
  <c r="AG18" i="4" a="1"/>
  <c r="AG18" i="4"/>
  <c r="O169" i="4"/>
  <c r="AG45" i="4" a="1"/>
  <c r="AG45" i="4"/>
  <c r="AG79" i="4"/>
  <c r="G170" i="4"/>
  <c r="H170" i="4"/>
  <c r="K170" i="4"/>
  <c r="AH18" i="4" a="1"/>
  <c r="AH18" i="4"/>
  <c r="O170" i="4"/>
  <c r="AH45" i="4" a="1"/>
  <c r="AH45" i="4"/>
  <c r="AH79" i="4"/>
  <c r="G171" i="4"/>
  <c r="H171" i="4"/>
  <c r="K171" i="4"/>
  <c r="AI18" i="4" a="1"/>
  <c r="AI18" i="4"/>
  <c r="O171" i="4"/>
  <c r="AI45" i="4" a="1"/>
  <c r="AI45" i="4"/>
  <c r="AI79" i="4"/>
  <c r="G172" i="4"/>
  <c r="H172" i="4"/>
  <c r="K172" i="4"/>
  <c r="AJ18" i="4" a="1"/>
  <c r="AJ18" i="4"/>
  <c r="O172" i="4"/>
  <c r="AJ45" i="4" a="1"/>
  <c r="AJ45" i="4"/>
  <c r="AJ79" i="4"/>
  <c r="G173" i="4"/>
  <c r="H173" i="4"/>
  <c r="K173" i="4"/>
  <c r="AK18" i="4" a="1"/>
  <c r="AK18" i="4"/>
  <c r="O173" i="4"/>
  <c r="AK45" i="4" a="1"/>
  <c r="AK45" i="4"/>
  <c r="AK79" i="4"/>
  <c r="G174" i="4"/>
  <c r="H174" i="4"/>
  <c r="K174" i="4"/>
  <c r="AL18" i="4" a="1"/>
  <c r="AL18" i="4"/>
  <c r="O174" i="4"/>
  <c r="AL45" i="4" a="1"/>
  <c r="AL45" i="4"/>
  <c r="AL79" i="4"/>
  <c r="G175" i="4"/>
  <c r="H175" i="4"/>
  <c r="K175" i="4"/>
  <c r="AM18" i="4" a="1"/>
  <c r="AM18" i="4"/>
  <c r="O175" i="4"/>
  <c r="AM45" i="4" a="1"/>
  <c r="AM45" i="4"/>
  <c r="AM79" i="4"/>
  <c r="G176" i="4"/>
  <c r="H176" i="4"/>
  <c r="K176" i="4"/>
  <c r="AN18" i="4" a="1"/>
  <c r="AN18" i="4"/>
  <c r="O176" i="4"/>
  <c r="AN45" i="4" a="1"/>
  <c r="AN45" i="4"/>
  <c r="AN79" i="4"/>
  <c r="G177" i="4"/>
  <c r="H177" i="4"/>
  <c r="K177" i="4"/>
  <c r="AO18" i="4" a="1"/>
  <c r="AO18" i="4"/>
  <c r="O177" i="4"/>
  <c r="AO45" i="4" a="1"/>
  <c r="AO45" i="4"/>
  <c r="AO79" i="4"/>
  <c r="G178" i="4"/>
  <c r="H178" i="4"/>
  <c r="K178" i="4"/>
  <c r="AP18" i="4" a="1"/>
  <c r="AP18" i="4"/>
  <c r="O178" i="4"/>
  <c r="AP45" i="4" a="1"/>
  <c r="AP45" i="4"/>
  <c r="AP79" i="4"/>
  <c r="G179" i="4"/>
  <c r="H179" i="4"/>
  <c r="K179" i="4"/>
  <c r="AQ18" i="4" a="1"/>
  <c r="AQ18" i="4"/>
  <c r="O179" i="4"/>
  <c r="AQ45" i="4" a="1"/>
  <c r="AQ45" i="4"/>
  <c r="AQ79" i="4"/>
  <c r="G180" i="4"/>
  <c r="H180" i="4"/>
  <c r="K180" i="4"/>
  <c r="AR18" i="4" a="1"/>
  <c r="AR18" i="4"/>
  <c r="O180" i="4"/>
  <c r="AR45" i="4" a="1"/>
  <c r="AR45" i="4"/>
  <c r="AR79" i="4"/>
  <c r="G181" i="4"/>
  <c r="H181" i="4"/>
  <c r="K181" i="4"/>
  <c r="AS18" i="4" a="1"/>
  <c r="AS18" i="4"/>
  <c r="O181" i="4"/>
  <c r="AS45" i="4" a="1"/>
  <c r="AS45" i="4"/>
  <c r="AS79" i="4"/>
  <c r="G182" i="4"/>
  <c r="H182" i="4"/>
  <c r="K182" i="4"/>
  <c r="AT18" i="4" a="1"/>
  <c r="AT18" i="4"/>
  <c r="O182" i="4"/>
  <c r="AT45" i="4" a="1"/>
  <c r="AT45" i="4"/>
  <c r="AT79" i="4"/>
  <c r="G183" i="4"/>
  <c r="H183" i="4"/>
  <c r="K183" i="4"/>
  <c r="AA19" i="4" a="1"/>
  <c r="AA19" i="4"/>
  <c r="O183" i="4"/>
  <c r="AA46" i="4" a="1"/>
  <c r="AA46" i="4"/>
  <c r="AA80" i="4"/>
  <c r="G184" i="4"/>
  <c r="H184" i="4"/>
  <c r="K184" i="4"/>
  <c r="AB19" i="4" a="1"/>
  <c r="AB19" i="4"/>
  <c r="O184" i="4"/>
  <c r="AB46" i="4" a="1"/>
  <c r="AB46" i="4"/>
  <c r="AB80" i="4"/>
  <c r="G185" i="4"/>
  <c r="H185" i="4"/>
  <c r="K185" i="4"/>
  <c r="AC19" i="4" a="1"/>
  <c r="AC19" i="4"/>
  <c r="O185" i="4"/>
  <c r="AC46" i="4" a="1"/>
  <c r="AC46" i="4"/>
  <c r="AC80" i="4"/>
  <c r="G186" i="4"/>
  <c r="H186" i="4"/>
  <c r="K186" i="4"/>
  <c r="AD19" i="4" a="1"/>
  <c r="AD19" i="4"/>
  <c r="O186" i="4"/>
  <c r="AD46" i="4" a="1"/>
  <c r="AD46" i="4"/>
  <c r="AD80" i="4"/>
  <c r="G187" i="4"/>
  <c r="H187" i="4"/>
  <c r="K187" i="4"/>
  <c r="AE19" i="4" a="1"/>
  <c r="AE19" i="4"/>
  <c r="O187" i="4"/>
  <c r="AE46" i="4" a="1"/>
  <c r="AE46" i="4"/>
  <c r="AE80" i="4"/>
  <c r="G188" i="4"/>
  <c r="H188" i="4"/>
  <c r="K188" i="4"/>
  <c r="AF19" i="4" a="1"/>
  <c r="AF19" i="4"/>
  <c r="O188" i="4"/>
  <c r="AF46" i="4" a="1"/>
  <c r="AF46" i="4"/>
  <c r="AF80" i="4"/>
  <c r="G189" i="4"/>
  <c r="H189" i="4"/>
  <c r="K189" i="4"/>
  <c r="AG19" i="4" a="1"/>
  <c r="AG19" i="4"/>
  <c r="O189" i="4"/>
  <c r="AG46" i="4" a="1"/>
  <c r="AG46" i="4"/>
  <c r="AG80" i="4"/>
  <c r="G190" i="4"/>
  <c r="H190" i="4"/>
  <c r="K190" i="4"/>
  <c r="AH19" i="4" a="1"/>
  <c r="AH19" i="4"/>
  <c r="O190" i="4"/>
  <c r="AH46" i="4" a="1"/>
  <c r="AH46" i="4"/>
  <c r="AH80" i="4"/>
  <c r="G191" i="4"/>
  <c r="H191" i="4"/>
  <c r="K191" i="4"/>
  <c r="AI19" i="4" a="1"/>
  <c r="AI19" i="4"/>
  <c r="O191" i="4"/>
  <c r="AI46" i="4" a="1"/>
  <c r="AI46" i="4"/>
  <c r="AI80" i="4"/>
  <c r="G192" i="4"/>
  <c r="H192" i="4"/>
  <c r="K192" i="4"/>
  <c r="AJ19" i="4" a="1"/>
  <c r="AJ19" i="4"/>
  <c r="O192" i="4"/>
  <c r="AJ46" i="4" a="1"/>
  <c r="AJ46" i="4"/>
  <c r="AJ80" i="4"/>
  <c r="G193" i="4"/>
  <c r="H193" i="4"/>
  <c r="K193" i="4"/>
  <c r="AK19" i="4" a="1"/>
  <c r="AK19" i="4"/>
  <c r="O193" i="4"/>
  <c r="AK46" i="4" a="1"/>
  <c r="AK46" i="4"/>
  <c r="AK80" i="4"/>
  <c r="G194" i="4"/>
  <c r="H194" i="4"/>
  <c r="K194" i="4"/>
  <c r="AL19" i="4" a="1"/>
  <c r="AL19" i="4"/>
  <c r="O194" i="4"/>
  <c r="AL46" i="4" a="1"/>
  <c r="AL46" i="4"/>
  <c r="AL80" i="4"/>
  <c r="G195" i="4"/>
  <c r="H195" i="4"/>
  <c r="K195" i="4"/>
  <c r="AM19" i="4" a="1"/>
  <c r="AM19" i="4"/>
  <c r="O195" i="4"/>
  <c r="AM46" i="4" a="1"/>
  <c r="AM46" i="4"/>
  <c r="AM80" i="4"/>
  <c r="G196" i="4"/>
  <c r="H196" i="4"/>
  <c r="K196" i="4"/>
  <c r="AN19" i="4" a="1"/>
  <c r="AN19" i="4"/>
  <c r="O196" i="4"/>
  <c r="AN46" i="4" a="1"/>
  <c r="AN46" i="4"/>
  <c r="AN80" i="4"/>
  <c r="G197" i="4"/>
  <c r="H197" i="4"/>
  <c r="K197" i="4"/>
  <c r="AO19" i="4" a="1"/>
  <c r="AO19" i="4"/>
  <c r="O197" i="4"/>
  <c r="AO46" i="4" a="1"/>
  <c r="AO46" i="4"/>
  <c r="AO80" i="4"/>
  <c r="G198" i="4"/>
  <c r="H198" i="4"/>
  <c r="K198" i="4"/>
  <c r="AP19" i="4" a="1"/>
  <c r="AP19" i="4"/>
  <c r="O198" i="4"/>
  <c r="AP46" i="4" a="1"/>
  <c r="AP46" i="4"/>
  <c r="AP80" i="4"/>
  <c r="G199" i="4"/>
  <c r="H199" i="4"/>
  <c r="K199" i="4"/>
  <c r="AQ19" i="4" a="1"/>
  <c r="AQ19" i="4"/>
  <c r="O199" i="4"/>
  <c r="AQ46" i="4" a="1"/>
  <c r="AQ46" i="4"/>
  <c r="AQ80" i="4"/>
  <c r="G200" i="4"/>
  <c r="H200" i="4"/>
  <c r="K200" i="4"/>
  <c r="AR19" i="4" a="1"/>
  <c r="AR19" i="4"/>
  <c r="O200" i="4"/>
  <c r="AR46" i="4" a="1"/>
  <c r="AR46" i="4"/>
  <c r="AR80" i="4"/>
  <c r="G201" i="4"/>
  <c r="H201" i="4"/>
  <c r="K201" i="4"/>
  <c r="AS19" i="4" a="1"/>
  <c r="AS19" i="4"/>
  <c r="O201" i="4"/>
  <c r="AS46" i="4" a="1"/>
  <c r="AS46" i="4"/>
  <c r="AS80" i="4"/>
  <c r="G202" i="4"/>
  <c r="H202" i="4"/>
  <c r="K202" i="4"/>
  <c r="AT19" i="4" a="1"/>
  <c r="AT19" i="4"/>
  <c r="O202" i="4"/>
  <c r="AT46" i="4" a="1"/>
  <c r="AT46" i="4"/>
  <c r="AT80" i="4"/>
  <c r="G203" i="4"/>
  <c r="H203" i="4"/>
  <c r="K203" i="4"/>
  <c r="AA20" i="4" a="1"/>
  <c r="AA20" i="4"/>
  <c r="O203" i="4"/>
  <c r="AA47" i="4" a="1"/>
  <c r="AA47" i="4"/>
  <c r="AA81" i="4"/>
  <c r="G204" i="4"/>
  <c r="H204" i="4"/>
  <c r="K204" i="4"/>
  <c r="AB20" i="4" a="1"/>
  <c r="AB20" i="4"/>
  <c r="O204" i="4"/>
  <c r="AB47" i="4" a="1"/>
  <c r="AB47" i="4"/>
  <c r="AB81" i="4"/>
  <c r="G205" i="4"/>
  <c r="H205" i="4"/>
  <c r="K205" i="4"/>
  <c r="AC20" i="4" a="1"/>
  <c r="AC20" i="4"/>
  <c r="O205" i="4"/>
  <c r="AC47" i="4" a="1"/>
  <c r="AC47" i="4"/>
  <c r="AC81" i="4"/>
  <c r="G206" i="4"/>
  <c r="H206" i="4"/>
  <c r="K206" i="4"/>
  <c r="AD20" i="4" a="1"/>
  <c r="AD20" i="4"/>
  <c r="O206" i="4"/>
  <c r="AD47" i="4" a="1"/>
  <c r="AD47" i="4"/>
  <c r="AD81" i="4"/>
  <c r="G207" i="4"/>
  <c r="H207" i="4"/>
  <c r="K207" i="4"/>
  <c r="AE20" i="4" a="1"/>
  <c r="AE20" i="4"/>
  <c r="O207" i="4"/>
  <c r="AE47" i="4" a="1"/>
  <c r="AE47" i="4"/>
  <c r="AE81" i="4"/>
  <c r="G208" i="4"/>
  <c r="H208" i="4"/>
  <c r="K208" i="4"/>
  <c r="AF20" i="4" a="1"/>
  <c r="AF20" i="4"/>
  <c r="O208" i="4"/>
  <c r="AF47" i="4" a="1"/>
  <c r="AF47" i="4"/>
  <c r="AF81" i="4"/>
  <c r="G209" i="4"/>
  <c r="H209" i="4"/>
  <c r="K209" i="4"/>
  <c r="AG20" i="4" a="1"/>
  <c r="AG20" i="4"/>
  <c r="O209" i="4"/>
  <c r="AG47" i="4" a="1"/>
  <c r="AG47" i="4"/>
  <c r="AG81" i="4"/>
  <c r="G210" i="4"/>
  <c r="H210" i="4"/>
  <c r="K210" i="4"/>
  <c r="AH20" i="4" a="1"/>
  <c r="AH20" i="4"/>
  <c r="O210" i="4"/>
  <c r="AH47" i="4" a="1"/>
  <c r="AH47" i="4"/>
  <c r="AH81" i="4"/>
  <c r="G211" i="4"/>
  <c r="H211" i="4"/>
  <c r="K211" i="4"/>
  <c r="AI20" i="4" a="1"/>
  <c r="AI20" i="4"/>
  <c r="O211" i="4"/>
  <c r="AI47" i="4" a="1"/>
  <c r="AI47" i="4"/>
  <c r="AI81" i="4"/>
  <c r="G212" i="4"/>
  <c r="H212" i="4"/>
  <c r="K212" i="4"/>
  <c r="AJ20" i="4" a="1"/>
  <c r="AJ20" i="4"/>
  <c r="O212" i="4"/>
  <c r="AJ47" i="4" a="1"/>
  <c r="AJ47" i="4"/>
  <c r="AJ81" i="4"/>
  <c r="G213" i="4"/>
  <c r="H213" i="4"/>
  <c r="K213" i="4"/>
  <c r="AK20" i="4" a="1"/>
  <c r="AK20" i="4"/>
  <c r="O213" i="4"/>
  <c r="AK47" i="4" a="1"/>
  <c r="AK47" i="4"/>
  <c r="AK81" i="4"/>
  <c r="G214" i="4"/>
  <c r="H214" i="4"/>
  <c r="K214" i="4"/>
  <c r="AL20" i="4" a="1"/>
  <c r="AL20" i="4"/>
  <c r="O214" i="4"/>
  <c r="AL47" i="4" a="1"/>
  <c r="AL47" i="4"/>
  <c r="AL81" i="4"/>
  <c r="G215" i="4"/>
  <c r="H215" i="4"/>
  <c r="K215" i="4"/>
  <c r="AM20" i="4" a="1"/>
  <c r="AM20" i="4"/>
  <c r="O215" i="4"/>
  <c r="AM47" i="4" a="1"/>
  <c r="AM47" i="4"/>
  <c r="AM81" i="4"/>
  <c r="G216" i="4"/>
  <c r="H216" i="4"/>
  <c r="K216" i="4"/>
  <c r="AN20" i="4" a="1"/>
  <c r="AN20" i="4"/>
  <c r="O216" i="4"/>
  <c r="AN47" i="4" a="1"/>
  <c r="AN47" i="4"/>
  <c r="AN81" i="4"/>
  <c r="G217" i="4"/>
  <c r="H217" i="4"/>
  <c r="K217" i="4"/>
  <c r="AO20" i="4" a="1"/>
  <c r="AO20" i="4"/>
  <c r="O217" i="4"/>
  <c r="AO47" i="4" a="1"/>
  <c r="AO47" i="4"/>
  <c r="AO81" i="4"/>
  <c r="G218" i="4"/>
  <c r="H218" i="4"/>
  <c r="K218" i="4"/>
  <c r="AP20" i="4" a="1"/>
  <c r="AP20" i="4"/>
  <c r="O218" i="4"/>
  <c r="AP47" i="4" a="1"/>
  <c r="AP47" i="4"/>
  <c r="AP81" i="4"/>
  <c r="G219" i="4"/>
  <c r="H219" i="4"/>
  <c r="K219" i="4"/>
  <c r="AQ20" i="4" a="1"/>
  <c r="AQ20" i="4"/>
  <c r="O219" i="4"/>
  <c r="AQ47" i="4" a="1"/>
  <c r="AQ47" i="4"/>
  <c r="AQ81" i="4"/>
  <c r="G220" i="4"/>
  <c r="H220" i="4"/>
  <c r="K220" i="4"/>
  <c r="AR20" i="4" a="1"/>
  <c r="AR20" i="4"/>
  <c r="O220" i="4"/>
  <c r="AR47" i="4" a="1"/>
  <c r="AR47" i="4"/>
  <c r="AR81" i="4"/>
  <c r="G221" i="4"/>
  <c r="H221" i="4"/>
  <c r="K221" i="4"/>
  <c r="AS20" i="4" a="1"/>
  <c r="AS20" i="4"/>
  <c r="O221" i="4"/>
  <c r="AS47" i="4" a="1"/>
  <c r="AS47" i="4"/>
  <c r="AS81" i="4"/>
  <c r="G222" i="4"/>
  <c r="H222" i="4"/>
  <c r="K222" i="4"/>
  <c r="AT20" i="4" a="1"/>
  <c r="AT20" i="4"/>
  <c r="O222" i="4"/>
  <c r="AT47" i="4" a="1"/>
  <c r="AT47" i="4"/>
  <c r="AT81" i="4"/>
  <c r="G223" i="4"/>
  <c r="H223" i="4"/>
  <c r="K223" i="4"/>
  <c r="AA21" i="4" a="1"/>
  <c r="AA21" i="4"/>
  <c r="O223" i="4"/>
  <c r="AA48" i="4" a="1"/>
  <c r="AA48" i="4"/>
  <c r="AA82" i="4"/>
  <c r="G224" i="4"/>
  <c r="H224" i="4"/>
  <c r="K224" i="4"/>
  <c r="AB21" i="4" a="1"/>
  <c r="AB21" i="4"/>
  <c r="O224" i="4"/>
  <c r="AB48" i="4" a="1"/>
  <c r="AB48" i="4"/>
  <c r="AB82" i="4"/>
  <c r="G225" i="4"/>
  <c r="H225" i="4"/>
  <c r="K225" i="4"/>
  <c r="AC21" i="4" a="1"/>
  <c r="AC21" i="4"/>
  <c r="O225" i="4"/>
  <c r="AC48" i="4" a="1"/>
  <c r="AC48" i="4"/>
  <c r="AC82" i="4"/>
  <c r="G226" i="4"/>
  <c r="H226" i="4"/>
  <c r="K226" i="4"/>
  <c r="AD21" i="4" a="1"/>
  <c r="AD21" i="4"/>
  <c r="O226" i="4"/>
  <c r="AD48" i="4" a="1"/>
  <c r="AD48" i="4"/>
  <c r="AD82" i="4"/>
  <c r="G227" i="4"/>
  <c r="H227" i="4"/>
  <c r="K227" i="4"/>
  <c r="AE21" i="4" a="1"/>
  <c r="AE21" i="4"/>
  <c r="O227" i="4"/>
  <c r="AE48" i="4" a="1"/>
  <c r="AE48" i="4"/>
  <c r="AE82" i="4"/>
  <c r="G228" i="4"/>
  <c r="H228" i="4"/>
  <c r="K228" i="4"/>
  <c r="AF21" i="4" a="1"/>
  <c r="AF21" i="4"/>
  <c r="O228" i="4"/>
  <c r="AF48" i="4" a="1"/>
  <c r="AF48" i="4"/>
  <c r="AF82" i="4"/>
  <c r="G229" i="4"/>
  <c r="H229" i="4"/>
  <c r="K229" i="4"/>
  <c r="AG21" i="4" a="1"/>
  <c r="AG21" i="4"/>
  <c r="O229" i="4"/>
  <c r="AG48" i="4" a="1"/>
  <c r="AG48" i="4"/>
  <c r="AG82" i="4"/>
  <c r="G230" i="4"/>
  <c r="H230" i="4"/>
  <c r="K230" i="4"/>
  <c r="AH21" i="4" a="1"/>
  <c r="AH21" i="4"/>
  <c r="O230" i="4"/>
  <c r="AH48" i="4" a="1"/>
  <c r="AH48" i="4"/>
  <c r="AH82" i="4"/>
  <c r="G231" i="4"/>
  <c r="H231" i="4"/>
  <c r="K231" i="4"/>
  <c r="AI21" i="4" a="1"/>
  <c r="AI21" i="4"/>
  <c r="O231" i="4"/>
  <c r="AI48" i="4" a="1"/>
  <c r="AI48" i="4"/>
  <c r="AI82" i="4"/>
  <c r="G232" i="4"/>
  <c r="H232" i="4"/>
  <c r="K232" i="4"/>
  <c r="AJ21" i="4" a="1"/>
  <c r="AJ21" i="4"/>
  <c r="O232" i="4"/>
  <c r="AJ48" i="4" a="1"/>
  <c r="AJ48" i="4"/>
  <c r="AJ82" i="4"/>
  <c r="G233" i="4"/>
  <c r="H233" i="4"/>
  <c r="K233" i="4"/>
  <c r="AK21" i="4" a="1"/>
  <c r="AK21" i="4"/>
  <c r="O233" i="4"/>
  <c r="AK48" i="4" a="1"/>
  <c r="AK48" i="4"/>
  <c r="AK82" i="4"/>
  <c r="G234" i="4"/>
  <c r="H234" i="4"/>
  <c r="K234" i="4"/>
  <c r="AL21" i="4" a="1"/>
  <c r="AL21" i="4"/>
  <c r="O234" i="4"/>
  <c r="AL48" i="4" a="1"/>
  <c r="AL48" i="4"/>
  <c r="AL82" i="4"/>
  <c r="G235" i="4"/>
  <c r="H235" i="4"/>
  <c r="K235" i="4"/>
  <c r="AM21" i="4" a="1"/>
  <c r="AM21" i="4"/>
  <c r="O235" i="4"/>
  <c r="AM48" i="4" a="1"/>
  <c r="AM48" i="4"/>
  <c r="AM82" i="4"/>
  <c r="G236" i="4"/>
  <c r="H236" i="4"/>
  <c r="K236" i="4"/>
  <c r="AN21" i="4" a="1"/>
  <c r="AN21" i="4"/>
  <c r="O236" i="4"/>
  <c r="AN48" i="4" a="1"/>
  <c r="AN48" i="4"/>
  <c r="AN82" i="4"/>
  <c r="G237" i="4"/>
  <c r="H237" i="4"/>
  <c r="K237" i="4"/>
  <c r="AO21" i="4" a="1"/>
  <c r="AO21" i="4"/>
  <c r="O237" i="4"/>
  <c r="AO48" i="4" a="1"/>
  <c r="AO48" i="4"/>
  <c r="AO82" i="4"/>
  <c r="G238" i="4"/>
  <c r="H238" i="4"/>
  <c r="K238" i="4"/>
  <c r="AP21" i="4" a="1"/>
  <c r="AP21" i="4"/>
  <c r="O238" i="4"/>
  <c r="AP48" i="4" a="1"/>
  <c r="AP48" i="4"/>
  <c r="AP82" i="4"/>
  <c r="G239" i="4"/>
  <c r="H239" i="4"/>
  <c r="K239" i="4"/>
  <c r="AQ21" i="4" a="1"/>
  <c r="AQ21" i="4"/>
  <c r="O239" i="4"/>
  <c r="AQ48" i="4" a="1"/>
  <c r="AQ48" i="4"/>
  <c r="AQ82" i="4"/>
  <c r="G240" i="4"/>
  <c r="H240" i="4"/>
  <c r="K240" i="4"/>
  <c r="AR21" i="4" a="1"/>
  <c r="AR21" i="4"/>
  <c r="O240" i="4"/>
  <c r="AR48" i="4" a="1"/>
  <c r="AR48" i="4"/>
  <c r="AR82" i="4"/>
  <c r="G241" i="4"/>
  <c r="H241" i="4"/>
  <c r="K241" i="4"/>
  <c r="AS21" i="4" a="1"/>
  <c r="AS21" i="4"/>
  <c r="O241" i="4"/>
  <c r="AS48" i="4" a="1"/>
  <c r="AS48" i="4"/>
  <c r="AS82" i="4"/>
  <c r="G242" i="4"/>
  <c r="H242" i="4"/>
  <c r="K242" i="4"/>
  <c r="AT21" i="4" a="1"/>
  <c r="AT21" i="4"/>
  <c r="O242" i="4"/>
  <c r="AT48" i="4" a="1"/>
  <c r="AT48" i="4"/>
  <c r="AT82" i="4"/>
  <c r="G243" i="4"/>
  <c r="H243" i="4"/>
  <c r="K243" i="4"/>
  <c r="AA22" i="4" a="1"/>
  <c r="AA22" i="4"/>
  <c r="O243" i="4"/>
  <c r="AA49" i="4" a="1"/>
  <c r="AA49" i="4"/>
  <c r="AA83" i="4"/>
  <c r="G244" i="4"/>
  <c r="H244" i="4"/>
  <c r="K244" i="4"/>
  <c r="AB22" i="4" a="1"/>
  <c r="AB22" i="4"/>
  <c r="O244" i="4"/>
  <c r="AB49" i="4" a="1"/>
  <c r="AB49" i="4"/>
  <c r="AB83" i="4"/>
  <c r="G245" i="4"/>
  <c r="H245" i="4"/>
  <c r="K245" i="4"/>
  <c r="AC22" i="4" a="1"/>
  <c r="AC22" i="4"/>
  <c r="O245" i="4"/>
  <c r="AC49" i="4" a="1"/>
  <c r="AC49" i="4"/>
  <c r="AC83" i="4"/>
  <c r="G246" i="4"/>
  <c r="H246" i="4"/>
  <c r="K246" i="4"/>
  <c r="AD22" i="4" a="1"/>
  <c r="AD22" i="4"/>
  <c r="O246" i="4"/>
  <c r="AD49" i="4" a="1"/>
  <c r="AD49" i="4"/>
  <c r="AD83" i="4"/>
  <c r="G247" i="4"/>
  <c r="H247" i="4"/>
  <c r="K247" i="4"/>
  <c r="AE22" i="4" a="1"/>
  <c r="AE22" i="4"/>
  <c r="O247" i="4"/>
  <c r="AE49" i="4" a="1"/>
  <c r="AE49" i="4"/>
  <c r="AE83" i="4"/>
  <c r="G248" i="4"/>
  <c r="H248" i="4"/>
  <c r="K248" i="4"/>
  <c r="AF22" i="4" a="1"/>
  <c r="AF22" i="4"/>
  <c r="O248" i="4"/>
  <c r="AF49" i="4" a="1"/>
  <c r="AF49" i="4"/>
  <c r="AF83" i="4"/>
  <c r="G249" i="4"/>
  <c r="H249" i="4"/>
  <c r="K249" i="4"/>
  <c r="AG22" i="4" a="1"/>
  <c r="AG22" i="4"/>
  <c r="O249" i="4"/>
  <c r="AG49" i="4" a="1"/>
  <c r="AG49" i="4"/>
  <c r="AG83" i="4"/>
  <c r="G250" i="4"/>
  <c r="H250" i="4"/>
  <c r="K250" i="4"/>
  <c r="AH22" i="4" a="1"/>
  <c r="AH22" i="4"/>
  <c r="O250" i="4"/>
  <c r="AH49" i="4" a="1"/>
  <c r="AH49" i="4"/>
  <c r="AH83" i="4"/>
  <c r="G251" i="4"/>
  <c r="H251" i="4"/>
  <c r="K251" i="4"/>
  <c r="AI22" i="4" a="1"/>
  <c r="AI22" i="4"/>
  <c r="O251" i="4"/>
  <c r="AI49" i="4" a="1"/>
  <c r="AI49" i="4"/>
  <c r="AI83" i="4"/>
  <c r="G252" i="4"/>
  <c r="H252" i="4"/>
  <c r="K252" i="4"/>
  <c r="AJ22" i="4" a="1"/>
  <c r="AJ22" i="4"/>
  <c r="O252" i="4"/>
  <c r="AJ49" i="4" a="1"/>
  <c r="AJ49" i="4"/>
  <c r="AJ83" i="4"/>
  <c r="G253" i="4"/>
  <c r="H253" i="4"/>
  <c r="K253" i="4"/>
  <c r="AK22" i="4" a="1"/>
  <c r="AK22" i="4"/>
  <c r="O253" i="4"/>
  <c r="AK49" i="4" a="1"/>
  <c r="AK49" i="4"/>
  <c r="AK83" i="4"/>
  <c r="G254" i="4"/>
  <c r="H254" i="4"/>
  <c r="K254" i="4"/>
  <c r="AL22" i="4" a="1"/>
  <c r="AL22" i="4"/>
  <c r="O254" i="4"/>
  <c r="AL49" i="4" a="1"/>
  <c r="AL49" i="4"/>
  <c r="AL83" i="4"/>
  <c r="G255" i="4"/>
  <c r="H255" i="4"/>
  <c r="K255" i="4"/>
  <c r="AM22" i="4" a="1"/>
  <c r="AM22" i="4"/>
  <c r="O255" i="4"/>
  <c r="AM49" i="4" a="1"/>
  <c r="AM49" i="4"/>
  <c r="AM83" i="4"/>
  <c r="G256" i="4"/>
  <c r="H256" i="4"/>
  <c r="K256" i="4"/>
  <c r="AN22" i="4" a="1"/>
  <c r="AN22" i="4"/>
  <c r="O256" i="4"/>
  <c r="AN49" i="4" a="1"/>
  <c r="AN49" i="4"/>
  <c r="AN83" i="4"/>
  <c r="G257" i="4"/>
  <c r="H257" i="4"/>
  <c r="K257" i="4"/>
  <c r="AO22" i="4" a="1"/>
  <c r="AO22" i="4"/>
  <c r="O257" i="4"/>
  <c r="AO49" i="4" a="1"/>
  <c r="AO49" i="4"/>
  <c r="AO83" i="4"/>
  <c r="G258" i="4"/>
  <c r="H258" i="4"/>
  <c r="K258" i="4"/>
  <c r="AP22" i="4" a="1"/>
  <c r="AP22" i="4"/>
  <c r="O258" i="4"/>
  <c r="AP49" i="4" a="1"/>
  <c r="AP49" i="4"/>
  <c r="AP83" i="4"/>
  <c r="G259" i="4"/>
  <c r="H259" i="4"/>
  <c r="K259" i="4"/>
  <c r="AQ22" i="4" a="1"/>
  <c r="AQ22" i="4"/>
  <c r="O259" i="4"/>
  <c r="AQ49" i="4" a="1"/>
  <c r="AQ49" i="4"/>
  <c r="AQ83" i="4"/>
  <c r="G260" i="4"/>
  <c r="H260" i="4"/>
  <c r="K260" i="4"/>
  <c r="AR22" i="4" a="1"/>
  <c r="AR22" i="4"/>
  <c r="O260" i="4"/>
  <c r="AR49" i="4" a="1"/>
  <c r="AR49" i="4"/>
  <c r="AR83" i="4"/>
  <c r="G261" i="4"/>
  <c r="H261" i="4"/>
  <c r="K261" i="4"/>
  <c r="AS22" i="4" a="1"/>
  <c r="AS22" i="4"/>
  <c r="O261" i="4"/>
  <c r="AS49" i="4" a="1"/>
  <c r="AS49" i="4"/>
  <c r="AS83" i="4"/>
  <c r="G262" i="4"/>
  <c r="H262" i="4"/>
  <c r="K262" i="4"/>
  <c r="AT22" i="4" a="1"/>
  <c r="AT22" i="4"/>
  <c r="O262" i="4"/>
  <c r="AT49" i="4" a="1"/>
  <c r="AT49" i="4"/>
  <c r="AT83" i="4"/>
  <c r="G263" i="4"/>
  <c r="H263" i="4"/>
  <c r="K263" i="4"/>
  <c r="AA23" i="4" a="1"/>
  <c r="AA23" i="4"/>
  <c r="O263" i="4"/>
  <c r="AA50" i="4" a="1"/>
  <c r="AA50" i="4"/>
  <c r="AA84" i="4"/>
  <c r="G264" i="4"/>
  <c r="H264" i="4"/>
  <c r="K264" i="4"/>
  <c r="AB23" i="4" a="1"/>
  <c r="AB23" i="4"/>
  <c r="O264" i="4"/>
  <c r="AB50" i="4" a="1"/>
  <c r="AB50" i="4"/>
  <c r="AB84" i="4"/>
  <c r="G265" i="4"/>
  <c r="H265" i="4"/>
  <c r="K265" i="4"/>
  <c r="AC23" i="4" a="1"/>
  <c r="AC23" i="4"/>
  <c r="O265" i="4"/>
  <c r="AC50" i="4" a="1"/>
  <c r="AC50" i="4"/>
  <c r="AC84" i="4"/>
  <c r="G266" i="4"/>
  <c r="H266" i="4"/>
  <c r="K266" i="4"/>
  <c r="AD23" i="4" a="1"/>
  <c r="AD23" i="4"/>
  <c r="O266" i="4"/>
  <c r="AD50" i="4" a="1"/>
  <c r="AD50" i="4"/>
  <c r="AD84" i="4"/>
  <c r="G267" i="4"/>
  <c r="H267" i="4"/>
  <c r="K267" i="4"/>
  <c r="AE23" i="4" a="1"/>
  <c r="AE23" i="4"/>
  <c r="O267" i="4"/>
  <c r="AE50" i="4" a="1"/>
  <c r="AE50" i="4"/>
  <c r="AE84" i="4"/>
  <c r="G268" i="4"/>
  <c r="H268" i="4"/>
  <c r="K268" i="4"/>
  <c r="AF23" i="4" a="1"/>
  <c r="AF23" i="4"/>
  <c r="O268" i="4"/>
  <c r="AF50" i="4" a="1"/>
  <c r="AF50" i="4"/>
  <c r="AF84" i="4"/>
  <c r="G269" i="4"/>
  <c r="H269" i="4"/>
  <c r="K269" i="4"/>
  <c r="AG23" i="4" a="1"/>
  <c r="AG23" i="4"/>
  <c r="O269" i="4"/>
  <c r="AG50" i="4" a="1"/>
  <c r="AG50" i="4"/>
  <c r="AG84" i="4"/>
  <c r="G270" i="4"/>
  <c r="H270" i="4"/>
  <c r="K270" i="4"/>
  <c r="AH23" i="4" a="1"/>
  <c r="AH23" i="4"/>
  <c r="O270" i="4"/>
  <c r="AH50" i="4" a="1"/>
  <c r="AH50" i="4"/>
  <c r="AH84" i="4"/>
  <c r="G271" i="4"/>
  <c r="H271" i="4"/>
  <c r="K271" i="4"/>
  <c r="AI23" i="4" a="1"/>
  <c r="AI23" i="4"/>
  <c r="O271" i="4"/>
  <c r="AI50" i="4" a="1"/>
  <c r="AI50" i="4"/>
  <c r="AI84" i="4"/>
  <c r="G272" i="4"/>
  <c r="H272" i="4"/>
  <c r="K272" i="4"/>
  <c r="AJ23" i="4" a="1"/>
  <c r="AJ23" i="4"/>
  <c r="O272" i="4"/>
  <c r="AJ50" i="4" a="1"/>
  <c r="AJ50" i="4"/>
  <c r="AJ84" i="4"/>
  <c r="G273" i="4"/>
  <c r="H273" i="4"/>
  <c r="K273" i="4"/>
  <c r="AK23" i="4" a="1"/>
  <c r="AK23" i="4"/>
  <c r="O273" i="4"/>
  <c r="AK50" i="4" a="1"/>
  <c r="AK50" i="4"/>
  <c r="AK84" i="4"/>
  <c r="G274" i="4"/>
  <c r="H274" i="4"/>
  <c r="K274" i="4"/>
  <c r="AL23" i="4" a="1"/>
  <c r="AL23" i="4"/>
  <c r="O274" i="4"/>
  <c r="AL50" i="4" a="1"/>
  <c r="AL50" i="4"/>
  <c r="AL84" i="4"/>
  <c r="G275" i="4"/>
  <c r="H275" i="4"/>
  <c r="K275" i="4"/>
  <c r="AM23" i="4" a="1"/>
  <c r="AM23" i="4"/>
  <c r="O275" i="4"/>
  <c r="AM50" i="4" a="1"/>
  <c r="AM50" i="4"/>
  <c r="AM84" i="4"/>
  <c r="G276" i="4"/>
  <c r="H276" i="4"/>
  <c r="K276" i="4"/>
  <c r="AN23" i="4" a="1"/>
  <c r="AN23" i="4"/>
  <c r="O276" i="4"/>
  <c r="AN50" i="4" a="1"/>
  <c r="AN50" i="4"/>
  <c r="AN84" i="4"/>
  <c r="G277" i="4"/>
  <c r="H277" i="4"/>
  <c r="K277" i="4"/>
  <c r="AO23" i="4" a="1"/>
  <c r="AO23" i="4"/>
  <c r="O277" i="4"/>
  <c r="AO50" i="4" a="1"/>
  <c r="AO50" i="4"/>
  <c r="AO84" i="4"/>
  <c r="G278" i="4"/>
  <c r="H278" i="4"/>
  <c r="K278" i="4"/>
  <c r="AP23" i="4" a="1"/>
  <c r="AP23" i="4"/>
  <c r="O278" i="4"/>
  <c r="AP50" i="4" a="1"/>
  <c r="AP50" i="4"/>
  <c r="AP84" i="4"/>
  <c r="G279" i="4"/>
  <c r="H279" i="4"/>
  <c r="K279" i="4"/>
  <c r="AQ23" i="4" a="1"/>
  <c r="AQ23" i="4"/>
  <c r="O279" i="4"/>
  <c r="AQ50" i="4" a="1"/>
  <c r="AQ50" i="4"/>
  <c r="AQ84" i="4"/>
  <c r="G280" i="4"/>
  <c r="H280" i="4"/>
  <c r="K280" i="4"/>
  <c r="AR23" i="4" a="1"/>
  <c r="AR23" i="4"/>
  <c r="O280" i="4"/>
  <c r="AR50" i="4" a="1"/>
  <c r="AR50" i="4"/>
  <c r="AR84" i="4"/>
  <c r="G281" i="4"/>
  <c r="H281" i="4"/>
  <c r="K281" i="4"/>
  <c r="AS23" i="4" a="1"/>
  <c r="AS23" i="4"/>
  <c r="O281" i="4"/>
  <c r="AS50" i="4" a="1"/>
  <c r="AS50" i="4"/>
  <c r="AS84" i="4"/>
  <c r="G282" i="4"/>
  <c r="H282" i="4"/>
  <c r="K282" i="4"/>
  <c r="AT23" i="4" a="1"/>
  <c r="AT23" i="4"/>
  <c r="O282" i="4"/>
  <c r="AT50" i="4" a="1"/>
  <c r="AT50" i="4"/>
  <c r="AT84" i="4"/>
  <c r="G283" i="4"/>
  <c r="H283" i="4"/>
  <c r="K283" i="4"/>
  <c r="AA24" i="4" a="1"/>
  <c r="AA24" i="4"/>
  <c r="O283" i="4"/>
  <c r="AA51" i="4" a="1"/>
  <c r="AA51" i="4"/>
  <c r="AA85" i="4"/>
  <c r="G284" i="4"/>
  <c r="H284" i="4"/>
  <c r="K284" i="4"/>
  <c r="AB24" i="4" a="1"/>
  <c r="AB24" i="4"/>
  <c r="O284" i="4"/>
  <c r="AB51" i="4" a="1"/>
  <c r="AB51" i="4"/>
  <c r="AB85" i="4"/>
  <c r="G285" i="4"/>
  <c r="H285" i="4"/>
  <c r="K285" i="4"/>
  <c r="AC24" i="4" a="1"/>
  <c r="AC24" i="4"/>
  <c r="O285" i="4"/>
  <c r="AC51" i="4" a="1"/>
  <c r="AC51" i="4"/>
  <c r="AC85" i="4"/>
  <c r="G286" i="4"/>
  <c r="H286" i="4"/>
  <c r="K286" i="4"/>
  <c r="AD24" i="4" a="1"/>
  <c r="AD24" i="4"/>
  <c r="O286" i="4"/>
  <c r="AD51" i="4" a="1"/>
  <c r="AD51" i="4"/>
  <c r="AD85" i="4"/>
  <c r="G287" i="4"/>
  <c r="H287" i="4"/>
  <c r="K287" i="4"/>
  <c r="AE24" i="4" a="1"/>
  <c r="AE24" i="4"/>
  <c r="O287" i="4"/>
  <c r="AE51" i="4" a="1"/>
  <c r="AE51" i="4"/>
  <c r="AE85" i="4"/>
  <c r="G288" i="4"/>
  <c r="H288" i="4"/>
  <c r="K288" i="4"/>
  <c r="AF24" i="4" a="1"/>
  <c r="AF24" i="4"/>
  <c r="O288" i="4"/>
  <c r="AF51" i="4" a="1"/>
  <c r="AF51" i="4"/>
  <c r="AF85" i="4"/>
  <c r="G289" i="4"/>
  <c r="H289" i="4"/>
  <c r="K289" i="4"/>
  <c r="AG24" i="4" a="1"/>
  <c r="AG24" i="4"/>
  <c r="O289" i="4"/>
  <c r="AG51" i="4" a="1"/>
  <c r="AG51" i="4"/>
  <c r="AG85" i="4"/>
  <c r="G290" i="4"/>
  <c r="H290" i="4"/>
  <c r="K290" i="4"/>
  <c r="AH24" i="4" a="1"/>
  <c r="AH24" i="4"/>
  <c r="O290" i="4"/>
  <c r="AH51" i="4" a="1"/>
  <c r="AH51" i="4"/>
  <c r="AH85" i="4"/>
  <c r="G291" i="4"/>
  <c r="H291" i="4"/>
  <c r="K291" i="4"/>
  <c r="AI24" i="4" a="1"/>
  <c r="AI24" i="4"/>
  <c r="O291" i="4"/>
  <c r="AI51" i="4" a="1"/>
  <c r="AI51" i="4"/>
  <c r="AI85" i="4"/>
  <c r="G292" i="4"/>
  <c r="H292" i="4"/>
  <c r="K292" i="4"/>
  <c r="AJ24" i="4" a="1"/>
  <c r="AJ24" i="4"/>
  <c r="O292" i="4"/>
  <c r="AJ51" i="4" a="1"/>
  <c r="AJ51" i="4"/>
  <c r="AJ85" i="4"/>
  <c r="G293" i="4"/>
  <c r="H293" i="4"/>
  <c r="K293" i="4"/>
  <c r="AK24" i="4" a="1"/>
  <c r="AK24" i="4"/>
  <c r="O293" i="4"/>
  <c r="AK51" i="4" a="1"/>
  <c r="AK51" i="4"/>
  <c r="AK85" i="4"/>
  <c r="G294" i="4"/>
  <c r="H294" i="4"/>
  <c r="K294" i="4"/>
  <c r="AL24" i="4" a="1"/>
  <c r="AL24" i="4"/>
  <c r="O294" i="4"/>
  <c r="AL51" i="4" a="1"/>
  <c r="AL51" i="4"/>
  <c r="AL85" i="4"/>
  <c r="G295" i="4"/>
  <c r="H295" i="4"/>
  <c r="K295" i="4"/>
  <c r="AM24" i="4" a="1"/>
  <c r="AM24" i="4"/>
  <c r="O295" i="4"/>
  <c r="AM51" i="4" a="1"/>
  <c r="AM51" i="4"/>
  <c r="AM85" i="4"/>
  <c r="G296" i="4"/>
  <c r="H296" i="4"/>
  <c r="K296" i="4"/>
  <c r="AN24" i="4" a="1"/>
  <c r="AN24" i="4"/>
  <c r="O296" i="4"/>
  <c r="AN51" i="4" a="1"/>
  <c r="AN51" i="4"/>
  <c r="AN85" i="4"/>
  <c r="G297" i="4"/>
  <c r="H297" i="4"/>
  <c r="K297" i="4"/>
  <c r="AO24" i="4" a="1"/>
  <c r="AO24" i="4"/>
  <c r="O297" i="4"/>
  <c r="AO51" i="4" a="1"/>
  <c r="AO51" i="4"/>
  <c r="AO85" i="4"/>
  <c r="G298" i="4"/>
  <c r="H298" i="4"/>
  <c r="K298" i="4"/>
  <c r="AP24" i="4" a="1"/>
  <c r="AP24" i="4"/>
  <c r="O298" i="4"/>
  <c r="AP51" i="4" a="1"/>
  <c r="AP51" i="4"/>
  <c r="AP85" i="4"/>
  <c r="G299" i="4"/>
  <c r="H299" i="4"/>
  <c r="K299" i="4"/>
  <c r="AQ24" i="4" a="1"/>
  <c r="AQ24" i="4"/>
  <c r="O299" i="4"/>
  <c r="AQ51" i="4" a="1"/>
  <c r="AQ51" i="4"/>
  <c r="AQ85" i="4"/>
  <c r="G300" i="4"/>
  <c r="H300" i="4"/>
  <c r="K300" i="4"/>
  <c r="AR24" i="4" a="1"/>
  <c r="AR24" i="4"/>
  <c r="O300" i="4"/>
  <c r="AR51" i="4" a="1"/>
  <c r="AR51" i="4"/>
  <c r="AR85" i="4"/>
  <c r="G301" i="4"/>
  <c r="H301" i="4"/>
  <c r="K301" i="4"/>
  <c r="AS24" i="4" a="1"/>
  <c r="AS24" i="4"/>
  <c r="O301" i="4"/>
  <c r="AS51" i="4" a="1"/>
  <c r="AS51" i="4"/>
  <c r="AS85" i="4"/>
  <c r="G302" i="4"/>
  <c r="H302" i="4"/>
  <c r="K302" i="4"/>
  <c r="AT24" i="4" a="1"/>
  <c r="AT24" i="4"/>
  <c r="O302" i="4"/>
  <c r="AT51" i="4" a="1"/>
  <c r="AT51" i="4"/>
  <c r="AT85" i="4"/>
  <c r="G303" i="4"/>
  <c r="H303" i="4"/>
  <c r="K303" i="4"/>
  <c r="AA25" i="4" a="1"/>
  <c r="AA25" i="4"/>
  <c r="O303" i="4"/>
  <c r="AA52" i="4" a="1"/>
  <c r="AA52" i="4"/>
  <c r="AA86" i="4"/>
  <c r="G304" i="4"/>
  <c r="H304" i="4"/>
  <c r="K304" i="4"/>
  <c r="AB25" i="4" a="1"/>
  <c r="AB25" i="4"/>
  <c r="O304" i="4"/>
  <c r="AB52" i="4" a="1"/>
  <c r="AB52" i="4"/>
  <c r="AB86" i="4"/>
  <c r="G305" i="4"/>
  <c r="H305" i="4"/>
  <c r="K305" i="4"/>
  <c r="AC25" i="4" a="1"/>
  <c r="AC25" i="4"/>
  <c r="O305" i="4"/>
  <c r="AC52" i="4" a="1"/>
  <c r="AC52" i="4"/>
  <c r="AC86" i="4"/>
  <c r="G306" i="4"/>
  <c r="H306" i="4"/>
  <c r="K306" i="4"/>
  <c r="AD25" i="4" a="1"/>
  <c r="AD25" i="4"/>
  <c r="O306" i="4"/>
  <c r="AD52" i="4" a="1"/>
  <c r="AD52" i="4"/>
  <c r="AD86" i="4"/>
  <c r="G307" i="4"/>
  <c r="H307" i="4"/>
  <c r="K307" i="4"/>
  <c r="AE25" i="4" a="1"/>
  <c r="AE25" i="4"/>
  <c r="O307" i="4"/>
  <c r="AE52" i="4" a="1"/>
  <c r="AE52" i="4"/>
  <c r="AE86" i="4"/>
  <c r="G308" i="4"/>
  <c r="H308" i="4"/>
  <c r="K308" i="4"/>
  <c r="AF25" i="4" a="1"/>
  <c r="AF25" i="4"/>
  <c r="O308" i="4"/>
  <c r="AF52" i="4" a="1"/>
  <c r="AF52" i="4"/>
  <c r="AF86" i="4"/>
  <c r="G309" i="4"/>
  <c r="H309" i="4"/>
  <c r="K309" i="4"/>
  <c r="AG25" i="4" a="1"/>
  <c r="AG25" i="4"/>
  <c r="O309" i="4"/>
  <c r="AG52" i="4" a="1"/>
  <c r="AG52" i="4"/>
  <c r="AG86" i="4"/>
  <c r="G310" i="4"/>
  <c r="H310" i="4"/>
  <c r="K310" i="4"/>
  <c r="AH25" i="4" a="1"/>
  <c r="AH25" i="4"/>
  <c r="O310" i="4"/>
  <c r="AH52" i="4" a="1"/>
  <c r="AH52" i="4"/>
  <c r="AH86" i="4"/>
  <c r="G311" i="4"/>
  <c r="H311" i="4"/>
  <c r="K311" i="4"/>
  <c r="AI25" i="4" a="1"/>
  <c r="AI25" i="4"/>
  <c r="O311" i="4"/>
  <c r="AI52" i="4" a="1"/>
  <c r="AI52" i="4"/>
  <c r="AI86" i="4"/>
  <c r="G312" i="4"/>
  <c r="H312" i="4"/>
  <c r="K312" i="4"/>
  <c r="AJ25" i="4" a="1"/>
  <c r="AJ25" i="4"/>
  <c r="O312" i="4"/>
  <c r="AJ52" i="4" a="1"/>
  <c r="AJ52" i="4"/>
  <c r="AJ86" i="4"/>
  <c r="G313" i="4"/>
  <c r="H313" i="4"/>
  <c r="K313" i="4"/>
  <c r="AK25" i="4" a="1"/>
  <c r="AK25" i="4"/>
  <c r="O313" i="4"/>
  <c r="AK52" i="4" a="1"/>
  <c r="AK52" i="4"/>
  <c r="AK86" i="4"/>
  <c r="G314" i="4"/>
  <c r="H314" i="4"/>
  <c r="K314" i="4"/>
  <c r="AL25" i="4" a="1"/>
  <c r="AL25" i="4"/>
  <c r="O314" i="4"/>
  <c r="AL52" i="4" a="1"/>
  <c r="AL52" i="4"/>
  <c r="AL86" i="4"/>
  <c r="G315" i="4"/>
  <c r="H315" i="4"/>
  <c r="K315" i="4"/>
  <c r="AM25" i="4" a="1"/>
  <c r="AM25" i="4"/>
  <c r="O315" i="4"/>
  <c r="AM52" i="4" a="1"/>
  <c r="AM52" i="4"/>
  <c r="AM86" i="4"/>
  <c r="G316" i="4"/>
  <c r="H316" i="4"/>
  <c r="K316" i="4"/>
  <c r="AN25" i="4" a="1"/>
  <c r="AN25" i="4"/>
  <c r="O316" i="4"/>
  <c r="AN52" i="4" a="1"/>
  <c r="AN52" i="4"/>
  <c r="AN86" i="4"/>
  <c r="G317" i="4"/>
  <c r="H317" i="4"/>
  <c r="K317" i="4"/>
  <c r="AO25" i="4" a="1"/>
  <c r="AO25" i="4"/>
  <c r="O317" i="4"/>
  <c r="AO52" i="4" a="1"/>
  <c r="AO52" i="4"/>
  <c r="AO86" i="4"/>
  <c r="G318" i="4"/>
  <c r="H318" i="4"/>
  <c r="K318" i="4"/>
  <c r="AP25" i="4" a="1"/>
  <c r="AP25" i="4"/>
  <c r="O318" i="4"/>
  <c r="AP52" i="4" a="1"/>
  <c r="AP52" i="4"/>
  <c r="AP86" i="4"/>
  <c r="G319" i="4"/>
  <c r="H319" i="4"/>
  <c r="K319" i="4"/>
  <c r="AQ25" i="4" a="1"/>
  <c r="AQ25" i="4"/>
  <c r="O319" i="4"/>
  <c r="AQ52" i="4" a="1"/>
  <c r="AQ52" i="4"/>
  <c r="AQ86" i="4"/>
  <c r="G320" i="4"/>
  <c r="H320" i="4"/>
  <c r="K320" i="4"/>
  <c r="AR25" i="4" a="1"/>
  <c r="AR25" i="4"/>
  <c r="O320" i="4"/>
  <c r="AR52" i="4" a="1"/>
  <c r="AR52" i="4"/>
  <c r="AR86" i="4"/>
  <c r="G321" i="4"/>
  <c r="H321" i="4"/>
  <c r="K321" i="4"/>
  <c r="AS25" i="4" a="1"/>
  <c r="AS25" i="4"/>
  <c r="O321" i="4"/>
  <c r="AS52" i="4" a="1"/>
  <c r="AS52" i="4"/>
  <c r="AS86" i="4"/>
  <c r="G322" i="4"/>
  <c r="H322" i="4"/>
  <c r="K322" i="4"/>
  <c r="AT25" i="4" a="1"/>
  <c r="AT25" i="4"/>
  <c r="O322" i="4"/>
  <c r="AT52" i="4" a="1"/>
  <c r="AT52" i="4"/>
  <c r="AT86" i="4"/>
  <c r="G323" i="4"/>
  <c r="H323" i="4"/>
  <c r="K323" i="4"/>
  <c r="AA26" i="4" a="1"/>
  <c r="AA26" i="4"/>
  <c r="O323" i="4"/>
  <c r="AA53" i="4" a="1"/>
  <c r="AA53" i="4"/>
  <c r="AA87" i="4"/>
  <c r="G324" i="4"/>
  <c r="H324" i="4"/>
  <c r="K324" i="4"/>
  <c r="AB26" i="4" a="1"/>
  <c r="AB26" i="4"/>
  <c r="O324" i="4"/>
  <c r="AB53" i="4" a="1"/>
  <c r="AB53" i="4"/>
  <c r="AB87" i="4"/>
  <c r="G325" i="4"/>
  <c r="H325" i="4"/>
  <c r="K325" i="4"/>
  <c r="AC26" i="4" a="1"/>
  <c r="AC26" i="4"/>
  <c r="O325" i="4"/>
  <c r="AC53" i="4" a="1"/>
  <c r="AC53" i="4"/>
  <c r="AC87" i="4"/>
  <c r="G326" i="4"/>
  <c r="H326" i="4"/>
  <c r="K326" i="4"/>
  <c r="AD26" i="4" a="1"/>
  <c r="AD26" i="4"/>
  <c r="O326" i="4"/>
  <c r="AD53" i="4" a="1"/>
  <c r="AD53" i="4"/>
  <c r="AD87" i="4"/>
  <c r="G327" i="4"/>
  <c r="H327" i="4"/>
  <c r="K327" i="4"/>
  <c r="AE26" i="4" a="1"/>
  <c r="AE26" i="4"/>
  <c r="O327" i="4"/>
  <c r="AE53" i="4" a="1"/>
  <c r="AE53" i="4"/>
  <c r="AE87" i="4"/>
  <c r="G328" i="4"/>
  <c r="H328" i="4"/>
  <c r="K328" i="4"/>
  <c r="AF26" i="4" a="1"/>
  <c r="AF26" i="4"/>
  <c r="O328" i="4"/>
  <c r="AF53" i="4" a="1"/>
  <c r="AF53" i="4"/>
  <c r="AF87" i="4"/>
  <c r="G329" i="4"/>
  <c r="H329" i="4"/>
  <c r="K329" i="4"/>
  <c r="AG26" i="4" a="1"/>
  <c r="AG26" i="4"/>
  <c r="O329" i="4"/>
  <c r="AG53" i="4" a="1"/>
  <c r="AG53" i="4"/>
  <c r="AG87" i="4"/>
  <c r="G330" i="4"/>
  <c r="H330" i="4"/>
  <c r="K330" i="4"/>
  <c r="AH26" i="4" a="1"/>
  <c r="AH26" i="4"/>
  <c r="O330" i="4"/>
  <c r="AH53" i="4" a="1"/>
  <c r="AH53" i="4"/>
  <c r="AH87" i="4"/>
  <c r="G331" i="4"/>
  <c r="H331" i="4"/>
  <c r="K331" i="4"/>
  <c r="AI26" i="4" a="1"/>
  <c r="AI26" i="4"/>
  <c r="O331" i="4"/>
  <c r="AI53" i="4" a="1"/>
  <c r="AI53" i="4"/>
  <c r="AI87" i="4"/>
  <c r="G332" i="4"/>
  <c r="H332" i="4"/>
  <c r="K332" i="4"/>
  <c r="AJ26" i="4" a="1"/>
  <c r="AJ26" i="4"/>
  <c r="O332" i="4"/>
  <c r="AJ53" i="4" a="1"/>
  <c r="AJ53" i="4"/>
  <c r="AJ87" i="4"/>
  <c r="G333" i="4"/>
  <c r="H333" i="4"/>
  <c r="K333" i="4"/>
  <c r="AK26" i="4" a="1"/>
  <c r="AK26" i="4"/>
  <c r="O333" i="4"/>
  <c r="AK53" i="4" a="1"/>
  <c r="AK53" i="4"/>
  <c r="AK87" i="4"/>
  <c r="G334" i="4"/>
  <c r="H334" i="4"/>
  <c r="K334" i="4"/>
  <c r="AL26" i="4" a="1"/>
  <c r="AL26" i="4"/>
  <c r="O334" i="4"/>
  <c r="AL53" i="4" a="1"/>
  <c r="AL53" i="4"/>
  <c r="AL87" i="4"/>
  <c r="G335" i="4"/>
  <c r="H335" i="4"/>
  <c r="K335" i="4"/>
  <c r="AM26" i="4" a="1"/>
  <c r="AM26" i="4"/>
  <c r="O335" i="4"/>
  <c r="AM53" i="4" a="1"/>
  <c r="AM53" i="4"/>
  <c r="AM87" i="4"/>
  <c r="G336" i="4"/>
  <c r="H336" i="4"/>
  <c r="K336" i="4"/>
  <c r="AN26" i="4" a="1"/>
  <c r="AN26" i="4"/>
  <c r="O336" i="4"/>
  <c r="AN53" i="4" a="1"/>
  <c r="AN53" i="4"/>
  <c r="AN87" i="4"/>
  <c r="G337" i="4"/>
  <c r="H337" i="4"/>
  <c r="K337" i="4"/>
  <c r="AO26" i="4" a="1"/>
  <c r="AO26" i="4"/>
  <c r="O337" i="4"/>
  <c r="AO53" i="4" a="1"/>
  <c r="AO53" i="4"/>
  <c r="AO87" i="4"/>
  <c r="G338" i="4"/>
  <c r="H338" i="4"/>
  <c r="K338" i="4"/>
  <c r="AP26" i="4" a="1"/>
  <c r="AP26" i="4"/>
  <c r="O338" i="4"/>
  <c r="AP53" i="4" a="1"/>
  <c r="AP53" i="4"/>
  <c r="AP87" i="4"/>
  <c r="G339" i="4"/>
  <c r="H339" i="4"/>
  <c r="K339" i="4"/>
  <c r="AQ26" i="4" a="1"/>
  <c r="AQ26" i="4"/>
  <c r="O339" i="4"/>
  <c r="AQ53" i="4" a="1"/>
  <c r="AQ53" i="4"/>
  <c r="AQ87" i="4"/>
  <c r="G340" i="4"/>
  <c r="H340" i="4"/>
  <c r="K340" i="4"/>
  <c r="AR26" i="4" a="1"/>
  <c r="AR26" i="4"/>
  <c r="O340" i="4"/>
  <c r="AR53" i="4" a="1"/>
  <c r="AR53" i="4"/>
  <c r="AR87" i="4"/>
  <c r="G341" i="4"/>
  <c r="H341" i="4"/>
  <c r="K341" i="4"/>
  <c r="AS26" i="4" a="1"/>
  <c r="AS26" i="4"/>
  <c r="O341" i="4"/>
  <c r="AS53" i="4" a="1"/>
  <c r="AS53" i="4"/>
  <c r="AS87" i="4"/>
  <c r="G342" i="4"/>
  <c r="H342" i="4"/>
  <c r="K342" i="4"/>
  <c r="AT26" i="4" a="1"/>
  <c r="AT26" i="4"/>
  <c r="O342" i="4"/>
  <c r="AT53" i="4" a="1"/>
  <c r="AT53" i="4"/>
  <c r="AT87" i="4"/>
  <c r="G343" i="4"/>
  <c r="H343" i="4"/>
  <c r="K343" i="4"/>
  <c r="AA27" i="4" a="1"/>
  <c r="AA27" i="4"/>
  <c r="O343" i="4"/>
  <c r="AA54" i="4" a="1"/>
  <c r="AA54" i="4"/>
  <c r="AA88" i="4"/>
  <c r="G344" i="4"/>
  <c r="H344" i="4"/>
  <c r="K344" i="4"/>
  <c r="AB27" i="4" a="1"/>
  <c r="AB27" i="4"/>
  <c r="O344" i="4"/>
  <c r="AB54" i="4" a="1"/>
  <c r="AB54" i="4"/>
  <c r="AB88" i="4"/>
  <c r="G345" i="4"/>
  <c r="H345" i="4"/>
  <c r="K345" i="4"/>
  <c r="AC27" i="4" a="1"/>
  <c r="AC27" i="4"/>
  <c r="O345" i="4"/>
  <c r="AC54" i="4" a="1"/>
  <c r="AC54" i="4"/>
  <c r="AC88" i="4"/>
  <c r="G346" i="4"/>
  <c r="H346" i="4"/>
  <c r="K346" i="4"/>
  <c r="AD27" i="4" a="1"/>
  <c r="AD27" i="4"/>
  <c r="O346" i="4"/>
  <c r="AD54" i="4" a="1"/>
  <c r="AD54" i="4"/>
  <c r="AD88" i="4"/>
  <c r="G347" i="4"/>
  <c r="H347" i="4"/>
  <c r="K347" i="4"/>
  <c r="AE27" i="4" a="1"/>
  <c r="AE27" i="4"/>
  <c r="O347" i="4"/>
  <c r="AE54" i="4" a="1"/>
  <c r="AE54" i="4"/>
  <c r="AE88" i="4"/>
  <c r="G348" i="4"/>
  <c r="H348" i="4"/>
  <c r="K348" i="4"/>
  <c r="AF27" i="4" a="1"/>
  <c r="AF27" i="4"/>
  <c r="O348" i="4"/>
  <c r="AF54" i="4" a="1"/>
  <c r="AF54" i="4"/>
  <c r="AF88" i="4"/>
  <c r="G349" i="4"/>
  <c r="H349" i="4"/>
  <c r="K349" i="4"/>
  <c r="AG27" i="4" a="1"/>
  <c r="AG27" i="4"/>
  <c r="O349" i="4"/>
  <c r="AG54" i="4" a="1"/>
  <c r="AG54" i="4"/>
  <c r="AG88" i="4"/>
  <c r="G350" i="4"/>
  <c r="H350" i="4"/>
  <c r="K350" i="4"/>
  <c r="AH27" i="4" a="1"/>
  <c r="AH27" i="4"/>
  <c r="O350" i="4"/>
  <c r="AH54" i="4" a="1"/>
  <c r="AH54" i="4"/>
  <c r="AH88" i="4"/>
  <c r="G351" i="4"/>
  <c r="H351" i="4"/>
  <c r="K351" i="4"/>
  <c r="AI27" i="4" a="1"/>
  <c r="AI27" i="4"/>
  <c r="O351" i="4"/>
  <c r="AI54" i="4" a="1"/>
  <c r="AI54" i="4"/>
  <c r="AI88" i="4"/>
  <c r="G352" i="4"/>
  <c r="H352" i="4"/>
  <c r="K352" i="4"/>
  <c r="AJ27" i="4" a="1"/>
  <c r="AJ27" i="4"/>
  <c r="O352" i="4"/>
  <c r="AJ54" i="4" a="1"/>
  <c r="AJ54" i="4"/>
  <c r="AJ88" i="4"/>
  <c r="G353" i="4"/>
  <c r="H353" i="4"/>
  <c r="K353" i="4"/>
  <c r="AK27" i="4" a="1"/>
  <c r="AK27" i="4"/>
  <c r="O353" i="4"/>
  <c r="AK54" i="4" a="1"/>
  <c r="AK54" i="4"/>
  <c r="AK88" i="4"/>
  <c r="G354" i="4"/>
  <c r="H354" i="4"/>
  <c r="K354" i="4"/>
  <c r="AL27" i="4" a="1"/>
  <c r="AL27" i="4"/>
  <c r="O354" i="4"/>
  <c r="AL54" i="4" a="1"/>
  <c r="AL54" i="4"/>
  <c r="AL88" i="4"/>
  <c r="G355" i="4"/>
  <c r="H355" i="4"/>
  <c r="K355" i="4"/>
  <c r="AM27" i="4" a="1"/>
  <c r="AM27" i="4"/>
  <c r="O355" i="4"/>
  <c r="AM54" i="4" a="1"/>
  <c r="AM54" i="4"/>
  <c r="AM88" i="4"/>
  <c r="G356" i="4"/>
  <c r="H356" i="4"/>
  <c r="K356" i="4"/>
  <c r="AN27" i="4" a="1"/>
  <c r="AN27" i="4"/>
  <c r="O356" i="4"/>
  <c r="AN54" i="4" a="1"/>
  <c r="AN54" i="4"/>
  <c r="AN88" i="4"/>
  <c r="G357" i="4"/>
  <c r="H357" i="4"/>
  <c r="K357" i="4"/>
  <c r="AO27" i="4" a="1"/>
  <c r="AO27" i="4"/>
  <c r="O357" i="4"/>
  <c r="AO54" i="4" a="1"/>
  <c r="AO54" i="4"/>
  <c r="AO88" i="4"/>
  <c r="G358" i="4"/>
  <c r="H358" i="4"/>
  <c r="K358" i="4"/>
  <c r="AP27" i="4" a="1"/>
  <c r="AP27" i="4"/>
  <c r="O358" i="4"/>
  <c r="AP54" i="4" a="1"/>
  <c r="AP54" i="4"/>
  <c r="AP88" i="4"/>
  <c r="G359" i="4"/>
  <c r="H359" i="4"/>
  <c r="K359" i="4"/>
  <c r="AQ27" i="4" a="1"/>
  <c r="AQ27" i="4"/>
  <c r="O359" i="4"/>
  <c r="AQ54" i="4" a="1"/>
  <c r="AQ54" i="4"/>
  <c r="AQ88" i="4"/>
  <c r="G360" i="4"/>
  <c r="H360" i="4"/>
  <c r="K360" i="4"/>
  <c r="AR27" i="4" a="1"/>
  <c r="AR27" i="4"/>
  <c r="O360" i="4"/>
  <c r="AR54" i="4" a="1"/>
  <c r="AR54" i="4"/>
  <c r="AR88" i="4"/>
  <c r="G361" i="4"/>
  <c r="H361" i="4"/>
  <c r="K361" i="4"/>
  <c r="AS27" i="4" a="1"/>
  <c r="AS27" i="4"/>
  <c r="O361" i="4"/>
  <c r="AS54" i="4" a="1"/>
  <c r="AS54" i="4"/>
  <c r="AS88" i="4"/>
  <c r="G362" i="4"/>
  <c r="H362" i="4"/>
  <c r="K362" i="4"/>
  <c r="AT27" i="4" a="1"/>
  <c r="AT27" i="4"/>
  <c r="O362" i="4"/>
  <c r="AT54" i="4" a="1"/>
  <c r="AT54" i="4"/>
  <c r="AT88" i="4"/>
  <c r="G363" i="4"/>
  <c r="H363" i="4"/>
  <c r="K363" i="4"/>
  <c r="AA28" i="4" a="1"/>
  <c r="AA28" i="4"/>
  <c r="O363" i="4"/>
  <c r="AA55" i="4" a="1"/>
  <c r="AA55" i="4"/>
  <c r="AA89" i="4"/>
  <c r="G364" i="4"/>
  <c r="H364" i="4"/>
  <c r="K364" i="4"/>
  <c r="AB28" i="4" a="1"/>
  <c r="AB28" i="4"/>
  <c r="O364" i="4"/>
  <c r="AB55" i="4" a="1"/>
  <c r="AB55" i="4"/>
  <c r="AB89" i="4"/>
  <c r="G365" i="4"/>
  <c r="H365" i="4"/>
  <c r="K365" i="4"/>
  <c r="AC28" i="4" a="1"/>
  <c r="AC28" i="4"/>
  <c r="O365" i="4"/>
  <c r="AC55" i="4" a="1"/>
  <c r="AC55" i="4"/>
  <c r="AC89" i="4"/>
  <c r="G366" i="4"/>
  <c r="H366" i="4"/>
  <c r="K366" i="4"/>
  <c r="AD28" i="4" a="1"/>
  <c r="AD28" i="4"/>
  <c r="O366" i="4"/>
  <c r="AD55" i="4" a="1"/>
  <c r="AD55" i="4"/>
  <c r="AD89" i="4"/>
  <c r="G367" i="4"/>
  <c r="H367" i="4"/>
  <c r="K367" i="4"/>
  <c r="AE28" i="4" a="1"/>
  <c r="AE28" i="4"/>
  <c r="O367" i="4"/>
  <c r="AE55" i="4" a="1"/>
  <c r="AE55" i="4"/>
  <c r="AE89" i="4"/>
  <c r="G368" i="4"/>
  <c r="H368" i="4"/>
  <c r="K368" i="4"/>
  <c r="AF28" i="4" a="1"/>
  <c r="AF28" i="4"/>
  <c r="O368" i="4"/>
  <c r="AF55" i="4" a="1"/>
  <c r="AF55" i="4"/>
  <c r="AF89" i="4"/>
  <c r="G369" i="4"/>
  <c r="H369" i="4"/>
  <c r="K369" i="4"/>
  <c r="AG28" i="4" a="1"/>
  <c r="AG28" i="4"/>
  <c r="O369" i="4"/>
  <c r="AG55" i="4" a="1"/>
  <c r="AG55" i="4"/>
  <c r="AG89" i="4"/>
  <c r="G370" i="4"/>
  <c r="H370" i="4"/>
  <c r="K370" i="4"/>
  <c r="AH28" i="4" a="1"/>
  <c r="AH28" i="4"/>
  <c r="O370" i="4"/>
  <c r="AH55" i="4" a="1"/>
  <c r="AH55" i="4"/>
  <c r="AH89" i="4"/>
  <c r="G371" i="4"/>
  <c r="H371" i="4"/>
  <c r="K371" i="4"/>
  <c r="AI28" i="4" a="1"/>
  <c r="AI28" i="4"/>
  <c r="O371" i="4"/>
  <c r="AI55" i="4" a="1"/>
  <c r="AI55" i="4"/>
  <c r="AI89" i="4"/>
  <c r="G372" i="4"/>
  <c r="H372" i="4"/>
  <c r="K372" i="4"/>
  <c r="AJ28" i="4" a="1"/>
  <c r="AJ28" i="4"/>
  <c r="O372" i="4"/>
  <c r="AJ55" i="4" a="1"/>
  <c r="AJ55" i="4"/>
  <c r="AJ89" i="4"/>
  <c r="G373" i="4"/>
  <c r="H373" i="4"/>
  <c r="K373" i="4"/>
  <c r="AK28" i="4" a="1"/>
  <c r="AK28" i="4"/>
  <c r="O373" i="4"/>
  <c r="AK55" i="4" a="1"/>
  <c r="AK55" i="4"/>
  <c r="AK89" i="4"/>
  <c r="G374" i="4"/>
  <c r="H374" i="4"/>
  <c r="K374" i="4"/>
  <c r="AL28" i="4" a="1"/>
  <c r="AL28" i="4"/>
  <c r="O374" i="4"/>
  <c r="AL55" i="4" a="1"/>
  <c r="AL55" i="4"/>
  <c r="AL89" i="4"/>
  <c r="G375" i="4"/>
  <c r="H375" i="4"/>
  <c r="K375" i="4"/>
  <c r="AM28" i="4" a="1"/>
  <c r="AM28" i="4"/>
  <c r="O375" i="4"/>
  <c r="AM55" i="4" a="1"/>
  <c r="AM55" i="4"/>
  <c r="AM89" i="4"/>
  <c r="G376" i="4"/>
  <c r="H376" i="4"/>
  <c r="K376" i="4"/>
  <c r="AN28" i="4" a="1"/>
  <c r="AN28" i="4"/>
  <c r="O376" i="4"/>
  <c r="AN55" i="4" a="1"/>
  <c r="AN55" i="4"/>
  <c r="AN89" i="4"/>
  <c r="G377" i="4"/>
  <c r="H377" i="4"/>
  <c r="K377" i="4"/>
  <c r="AO28" i="4" a="1"/>
  <c r="AO28" i="4"/>
  <c r="O377" i="4"/>
  <c r="AO55" i="4" a="1"/>
  <c r="AO55" i="4"/>
  <c r="AO89" i="4"/>
  <c r="G378" i="4"/>
  <c r="H378" i="4"/>
  <c r="K378" i="4"/>
  <c r="AP28" i="4" a="1"/>
  <c r="AP28" i="4"/>
  <c r="O378" i="4"/>
  <c r="AP55" i="4" a="1"/>
  <c r="AP55" i="4"/>
  <c r="AP89" i="4"/>
  <c r="G379" i="4"/>
  <c r="H379" i="4"/>
  <c r="K379" i="4"/>
  <c r="AQ28" i="4" a="1"/>
  <c r="AQ28" i="4"/>
  <c r="O379" i="4"/>
  <c r="AQ55" i="4" a="1"/>
  <c r="AQ55" i="4"/>
  <c r="AQ89" i="4"/>
  <c r="G380" i="4"/>
  <c r="H380" i="4"/>
  <c r="K380" i="4"/>
  <c r="AR28" i="4" a="1"/>
  <c r="AR28" i="4"/>
  <c r="O380" i="4"/>
  <c r="AR55" i="4" a="1"/>
  <c r="AR55" i="4"/>
  <c r="AR89" i="4"/>
  <c r="G381" i="4"/>
  <c r="H381" i="4"/>
  <c r="K381" i="4"/>
  <c r="AS28" i="4" a="1"/>
  <c r="AS28" i="4"/>
  <c r="O381" i="4"/>
  <c r="AS55" i="4" a="1"/>
  <c r="AS55" i="4"/>
  <c r="AS89" i="4"/>
  <c r="G382" i="4"/>
  <c r="H382" i="4"/>
  <c r="K382" i="4"/>
  <c r="AT28" i="4" a="1"/>
  <c r="AT28" i="4"/>
  <c r="O382" i="4"/>
  <c r="AT55" i="4" a="1"/>
  <c r="AT55" i="4"/>
  <c r="AT89" i="4"/>
  <c r="G383" i="4"/>
  <c r="H383" i="4"/>
  <c r="K383" i="4"/>
  <c r="AA29" i="4" a="1"/>
  <c r="AA29" i="4"/>
  <c r="O383" i="4"/>
  <c r="AA56" i="4" a="1"/>
  <c r="AA56" i="4"/>
  <c r="G384" i="4"/>
  <c r="H384" i="4"/>
  <c r="K384" i="4"/>
  <c r="AB29" i="4" a="1"/>
  <c r="AB29" i="4"/>
  <c r="O384" i="4"/>
  <c r="AB56" i="4" a="1"/>
  <c r="AB56" i="4"/>
  <c r="G385" i="4"/>
  <c r="H385" i="4"/>
  <c r="K385" i="4"/>
  <c r="AC29" i="4" a="1"/>
  <c r="AC29" i="4"/>
  <c r="O385" i="4"/>
  <c r="AC56" i="4" a="1"/>
  <c r="AC56" i="4"/>
  <c r="G386" i="4"/>
  <c r="H386" i="4"/>
  <c r="K386" i="4"/>
  <c r="AD29" i="4" a="1"/>
  <c r="AD29" i="4"/>
  <c r="O386" i="4"/>
  <c r="AD56" i="4" a="1"/>
  <c r="AD56" i="4"/>
  <c r="G387" i="4"/>
  <c r="H387" i="4"/>
  <c r="K387" i="4"/>
  <c r="AE29" i="4" a="1"/>
  <c r="AE29" i="4"/>
  <c r="O387" i="4"/>
  <c r="AE56" i="4" a="1"/>
  <c r="AE56" i="4"/>
  <c r="G388" i="4"/>
  <c r="H388" i="4"/>
  <c r="K388" i="4"/>
  <c r="AF29" i="4" a="1"/>
  <c r="AF29" i="4"/>
  <c r="O388" i="4"/>
  <c r="AF56" i="4" a="1"/>
  <c r="AF56" i="4"/>
  <c r="G389" i="4"/>
  <c r="H389" i="4"/>
  <c r="K389" i="4"/>
  <c r="AG29" i="4" a="1"/>
  <c r="AG29" i="4"/>
  <c r="O389" i="4"/>
  <c r="AG56" i="4" a="1"/>
  <c r="AG56" i="4"/>
  <c r="G390" i="4"/>
  <c r="H390" i="4"/>
  <c r="K390" i="4"/>
  <c r="AH29" i="4" a="1"/>
  <c r="AH29" i="4"/>
  <c r="O390" i="4"/>
  <c r="AH56" i="4" a="1"/>
  <c r="AH56" i="4"/>
  <c r="G391" i="4"/>
  <c r="H391" i="4"/>
  <c r="K391" i="4"/>
  <c r="AI29" i="4" a="1"/>
  <c r="AI29" i="4"/>
  <c r="O391" i="4"/>
  <c r="AI56" i="4" a="1"/>
  <c r="AI56" i="4"/>
  <c r="G392" i="4"/>
  <c r="H392" i="4"/>
  <c r="K392" i="4"/>
  <c r="AJ29" i="4" a="1"/>
  <c r="AJ29" i="4"/>
  <c r="O392" i="4"/>
  <c r="AJ56" i="4" a="1"/>
  <c r="AJ56" i="4"/>
  <c r="G393" i="4"/>
  <c r="H393" i="4"/>
  <c r="K393" i="4"/>
  <c r="AK29" i="4" a="1"/>
  <c r="AK29" i="4"/>
  <c r="O393" i="4"/>
  <c r="AK56" i="4" a="1"/>
  <c r="AK56" i="4"/>
  <c r="G394" i="4"/>
  <c r="H394" i="4"/>
  <c r="K394" i="4"/>
  <c r="AL29" i="4" a="1"/>
  <c r="AL29" i="4"/>
  <c r="O394" i="4"/>
  <c r="AL56" i="4" a="1"/>
  <c r="AL56" i="4"/>
  <c r="G395" i="4"/>
  <c r="H395" i="4"/>
  <c r="K395" i="4"/>
  <c r="AM29" i="4" a="1"/>
  <c r="AM29" i="4"/>
  <c r="O395" i="4"/>
  <c r="AM56" i="4" a="1"/>
  <c r="AM56" i="4"/>
  <c r="G396" i="4"/>
  <c r="H396" i="4"/>
  <c r="K396" i="4"/>
  <c r="AN29" i="4" a="1"/>
  <c r="AN29" i="4"/>
  <c r="O396" i="4"/>
  <c r="AN56" i="4" a="1"/>
  <c r="AN56" i="4"/>
  <c r="G397" i="4"/>
  <c r="H397" i="4"/>
  <c r="K397" i="4"/>
  <c r="AO29" i="4" a="1"/>
  <c r="AO29" i="4"/>
  <c r="O397" i="4"/>
  <c r="AO56" i="4" a="1"/>
  <c r="AO56" i="4"/>
  <c r="G398" i="4"/>
  <c r="H398" i="4"/>
  <c r="K398" i="4"/>
  <c r="AP29" i="4" a="1"/>
  <c r="AP29" i="4"/>
  <c r="O398" i="4"/>
  <c r="AP56" i="4" a="1"/>
  <c r="AP56" i="4"/>
  <c r="G399" i="4"/>
  <c r="H399" i="4"/>
  <c r="K399" i="4"/>
  <c r="AQ29" i="4" a="1"/>
  <c r="AQ29" i="4"/>
  <c r="O399" i="4"/>
  <c r="AQ56" i="4" a="1"/>
  <c r="AQ56" i="4"/>
  <c r="G400" i="4"/>
  <c r="H400" i="4"/>
  <c r="K400" i="4"/>
  <c r="AR29" i="4" a="1"/>
  <c r="AR29" i="4"/>
  <c r="O400" i="4"/>
  <c r="AR56" i="4" a="1"/>
  <c r="AR56" i="4"/>
  <c r="G401" i="4"/>
  <c r="H401" i="4"/>
  <c r="K401" i="4"/>
  <c r="AS29" i="4" a="1"/>
  <c r="AS29" i="4"/>
  <c r="O401" i="4"/>
  <c r="AS56" i="4" a="1"/>
  <c r="AS56" i="4"/>
  <c r="G402" i="4"/>
  <c r="H402" i="4"/>
  <c r="K402" i="4"/>
  <c r="AT29" i="4" a="1"/>
  <c r="AT29" i="4"/>
  <c r="O402" i="4"/>
  <c r="AT56" i="4" a="1"/>
  <c r="AT56" i="4"/>
  <c r="G4" i="4"/>
  <c r="H4" i="4"/>
  <c r="K4" i="4"/>
  <c r="O4" i="4"/>
  <c r="AB37" i="4" a="1"/>
  <c r="AB37" i="4"/>
  <c r="G5" i="4"/>
  <c r="H5" i="4"/>
  <c r="K5" i="4"/>
  <c r="O5" i="4"/>
  <c r="AC37" i="4" a="1"/>
  <c r="AC37" i="4"/>
  <c r="G6" i="4"/>
  <c r="H6" i="4"/>
  <c r="K6" i="4"/>
  <c r="O6" i="4"/>
  <c r="AD37" i="4" a="1"/>
  <c r="AD37" i="4"/>
  <c r="G7" i="4"/>
  <c r="H7" i="4"/>
  <c r="K7" i="4"/>
  <c r="O7" i="4"/>
  <c r="AE37" i="4" a="1"/>
  <c r="AE37" i="4"/>
  <c r="G8" i="4"/>
  <c r="H8" i="4"/>
  <c r="K8" i="4"/>
  <c r="O8" i="4"/>
  <c r="AF37" i="4" a="1"/>
  <c r="AF37" i="4"/>
  <c r="G9" i="4"/>
  <c r="H9" i="4"/>
  <c r="K9" i="4"/>
  <c r="O9" i="4"/>
  <c r="AG37" i="4" a="1"/>
  <c r="AG37" i="4"/>
  <c r="G10" i="4"/>
  <c r="H10" i="4"/>
  <c r="K10" i="4"/>
  <c r="O10" i="4"/>
  <c r="AH37" i="4" a="1"/>
  <c r="AH37" i="4"/>
  <c r="G11" i="4"/>
  <c r="H11" i="4"/>
  <c r="K11" i="4"/>
  <c r="O11" i="4"/>
  <c r="AI37" i="4" a="1"/>
  <c r="AI37" i="4"/>
  <c r="G12" i="4"/>
  <c r="H12" i="4"/>
  <c r="K12" i="4"/>
  <c r="O12" i="4"/>
  <c r="AJ37" i="4" a="1"/>
  <c r="AJ37" i="4"/>
  <c r="G13" i="4"/>
  <c r="H13" i="4"/>
  <c r="K13" i="4"/>
  <c r="O13" i="4"/>
  <c r="AK37" i="4" a="1"/>
  <c r="AK37" i="4"/>
  <c r="G14" i="4"/>
  <c r="H14" i="4"/>
  <c r="K14" i="4"/>
  <c r="O14" i="4"/>
  <c r="AL37" i="4" a="1"/>
  <c r="AL37" i="4"/>
  <c r="G15" i="4"/>
  <c r="H15" i="4"/>
  <c r="K15" i="4"/>
  <c r="O15" i="4"/>
  <c r="AM37" i="4" a="1"/>
  <c r="AM37" i="4"/>
  <c r="G16" i="4"/>
  <c r="H16" i="4"/>
  <c r="K16" i="4"/>
  <c r="O16" i="4"/>
  <c r="AN37" i="4" a="1"/>
  <c r="AN37" i="4"/>
  <c r="G17" i="4"/>
  <c r="H17" i="4"/>
  <c r="K17" i="4"/>
  <c r="O17" i="4"/>
  <c r="AO37" i="4" a="1"/>
  <c r="AO37" i="4"/>
  <c r="G18" i="4"/>
  <c r="H18" i="4"/>
  <c r="K18" i="4"/>
  <c r="O18" i="4"/>
  <c r="AP37" i="4" a="1"/>
  <c r="AP37" i="4"/>
  <c r="G19" i="4"/>
  <c r="H19" i="4"/>
  <c r="K19" i="4"/>
  <c r="O19" i="4"/>
  <c r="AQ37" i="4" a="1"/>
  <c r="AQ37" i="4"/>
  <c r="G20" i="4"/>
  <c r="H20" i="4"/>
  <c r="K20" i="4"/>
  <c r="O20" i="4"/>
  <c r="AR37" i="4" a="1"/>
  <c r="AR37" i="4"/>
  <c r="G21" i="4"/>
  <c r="H21" i="4"/>
  <c r="K21" i="4"/>
  <c r="O21" i="4"/>
  <c r="AS37" i="4" a="1"/>
  <c r="AS37" i="4"/>
  <c r="G22" i="4"/>
  <c r="H22" i="4"/>
  <c r="K22" i="4"/>
  <c r="O22" i="4"/>
  <c r="AT37" i="4" a="1"/>
  <c r="AT37" i="4"/>
  <c r="G3" i="4"/>
  <c r="H3" i="4"/>
  <c r="O3" i="4"/>
  <c r="AA37" i="4" a="1"/>
  <c r="AA37" i="4"/>
  <c r="I117" i="2"/>
  <c r="I118" i="2"/>
  <c r="I119" i="2"/>
  <c r="I120" i="2"/>
  <c r="I121" i="2"/>
  <c r="I122" i="2"/>
  <c r="I123" i="2"/>
  <c r="K103" i="2"/>
  <c r="N106" i="2"/>
  <c r="Q106" i="2"/>
  <c r="O106" i="2"/>
  <c r="P106" i="2"/>
  <c r="X106" i="2"/>
  <c r="W107" i="2"/>
  <c r="Y107" i="2"/>
  <c r="W108" i="2"/>
  <c r="Y108" i="2"/>
  <c r="W109" i="2"/>
  <c r="Y109" i="2"/>
  <c r="X107" i="2"/>
  <c r="X108" i="2"/>
  <c r="X109" i="2"/>
  <c r="K37" i="1"/>
  <c r="H38" i="1"/>
  <c r="H39" i="1"/>
  <c r="H40" i="1"/>
  <c r="H41" i="1"/>
  <c r="H42" i="1"/>
  <c r="H43" i="1"/>
  <c r="H44" i="1"/>
  <c r="H45" i="1"/>
  <c r="H37" i="1"/>
  <c r="G37" i="1"/>
  <c r="J37" i="1"/>
  <c r="P245" i="4"/>
  <c r="R245" i="4"/>
  <c r="S245" i="4"/>
  <c r="R11" i="4"/>
  <c r="S11" i="4"/>
  <c r="R12" i="4"/>
  <c r="S12" i="4"/>
  <c r="R13" i="4"/>
  <c r="S13" i="4"/>
  <c r="R14" i="4"/>
  <c r="S14" i="4"/>
  <c r="R15" i="4"/>
  <c r="S15" i="4"/>
  <c r="R16" i="4"/>
  <c r="S16" i="4"/>
  <c r="R17" i="4"/>
  <c r="S17" i="4"/>
  <c r="R18" i="4"/>
  <c r="S18" i="4"/>
  <c r="R19" i="4"/>
  <c r="S19" i="4"/>
  <c r="R20" i="4"/>
  <c r="S20" i="4"/>
  <c r="R21" i="4"/>
  <c r="S21" i="4"/>
  <c r="R22" i="4"/>
  <c r="S22" i="4"/>
  <c r="R23" i="4"/>
  <c r="S23" i="4"/>
  <c r="R24" i="4"/>
  <c r="S24" i="4"/>
  <c r="R25" i="4"/>
  <c r="S25" i="4"/>
  <c r="R26" i="4"/>
  <c r="S26" i="4"/>
  <c r="R27" i="4"/>
  <c r="S27" i="4"/>
  <c r="R28" i="4"/>
  <c r="S28" i="4"/>
  <c r="R29" i="4"/>
  <c r="S29" i="4"/>
  <c r="R30" i="4"/>
  <c r="S30" i="4"/>
  <c r="R31" i="4"/>
  <c r="S31" i="4"/>
  <c r="R32" i="4"/>
  <c r="S32" i="4"/>
  <c r="R33" i="4"/>
  <c r="S33" i="4"/>
  <c r="R34" i="4"/>
  <c r="S34" i="4"/>
  <c r="R35" i="4"/>
  <c r="S35" i="4"/>
  <c r="R36" i="4"/>
  <c r="S36" i="4"/>
  <c r="R37" i="4"/>
  <c r="S37" i="4"/>
  <c r="R38" i="4"/>
  <c r="S38" i="4"/>
  <c r="R39" i="4"/>
  <c r="S39" i="4"/>
  <c r="R40" i="4"/>
  <c r="S40" i="4"/>
  <c r="R41" i="4"/>
  <c r="S41" i="4"/>
  <c r="R42" i="4"/>
  <c r="S42" i="4"/>
  <c r="R43" i="4"/>
  <c r="S43" i="4"/>
  <c r="R44" i="4"/>
  <c r="S44" i="4"/>
  <c r="R45" i="4"/>
  <c r="S45" i="4"/>
  <c r="R46" i="4"/>
  <c r="S46" i="4"/>
  <c r="R47" i="4"/>
  <c r="S47" i="4"/>
  <c r="R48" i="4"/>
  <c r="S48" i="4"/>
  <c r="R49" i="4"/>
  <c r="S49" i="4"/>
  <c r="R50" i="4"/>
  <c r="S50" i="4"/>
  <c r="R51" i="4"/>
  <c r="S51" i="4"/>
  <c r="R52" i="4"/>
  <c r="S52" i="4"/>
  <c r="R53" i="4"/>
  <c r="S53" i="4"/>
  <c r="R54" i="4"/>
  <c r="S54" i="4"/>
  <c r="R55" i="4"/>
  <c r="S55" i="4"/>
  <c r="R56" i="4"/>
  <c r="S56" i="4"/>
  <c r="R57" i="4"/>
  <c r="S57" i="4"/>
  <c r="R58" i="4"/>
  <c r="S58" i="4"/>
  <c r="R59" i="4"/>
  <c r="S59" i="4"/>
  <c r="R60" i="4"/>
  <c r="S60" i="4"/>
  <c r="R61" i="4"/>
  <c r="S61" i="4"/>
  <c r="R62" i="4"/>
  <c r="S62" i="4"/>
  <c r="R63" i="4"/>
  <c r="S63" i="4"/>
  <c r="R64" i="4"/>
  <c r="S64" i="4"/>
  <c r="R65" i="4"/>
  <c r="S65" i="4"/>
  <c r="R66" i="4"/>
  <c r="S66" i="4"/>
  <c r="R67" i="4"/>
  <c r="S67" i="4"/>
  <c r="R68" i="4"/>
  <c r="S68" i="4"/>
  <c r="R69" i="4"/>
  <c r="S69" i="4"/>
  <c r="R70" i="4"/>
  <c r="S70" i="4"/>
  <c r="R71" i="4"/>
  <c r="S71" i="4"/>
  <c r="R72" i="4"/>
  <c r="S72" i="4"/>
  <c r="R73" i="4"/>
  <c r="S73" i="4"/>
  <c r="R74" i="4"/>
  <c r="S74" i="4"/>
  <c r="R75" i="4"/>
  <c r="S75" i="4"/>
  <c r="R76" i="4"/>
  <c r="S76" i="4"/>
  <c r="R77" i="4"/>
  <c r="S77" i="4"/>
  <c r="R78" i="4"/>
  <c r="S78" i="4"/>
  <c r="R79" i="4"/>
  <c r="S79" i="4"/>
  <c r="R80" i="4"/>
  <c r="S80" i="4"/>
  <c r="R81" i="4"/>
  <c r="S81" i="4"/>
  <c r="R82" i="4"/>
  <c r="S82" i="4"/>
  <c r="R83" i="4"/>
  <c r="S83" i="4"/>
  <c r="R84" i="4"/>
  <c r="S84" i="4"/>
  <c r="R85" i="4"/>
  <c r="S85" i="4"/>
  <c r="R86" i="4"/>
  <c r="S86" i="4"/>
  <c r="R87" i="4"/>
  <c r="S87" i="4"/>
  <c r="R88" i="4"/>
  <c r="S88" i="4"/>
  <c r="R89" i="4"/>
  <c r="S89" i="4"/>
  <c r="R90" i="4"/>
  <c r="S90" i="4"/>
  <c r="R91" i="4"/>
  <c r="S91" i="4"/>
  <c r="R92" i="4"/>
  <c r="S92" i="4"/>
  <c r="R93" i="4"/>
  <c r="S93" i="4"/>
  <c r="R94" i="4"/>
  <c r="S94" i="4"/>
  <c r="R95" i="4"/>
  <c r="S95" i="4"/>
  <c r="R96" i="4"/>
  <c r="S96" i="4"/>
  <c r="R97" i="4"/>
  <c r="S97" i="4"/>
  <c r="R98" i="4"/>
  <c r="S98" i="4"/>
  <c r="R99" i="4"/>
  <c r="S99" i="4"/>
  <c r="R100" i="4"/>
  <c r="S100" i="4"/>
  <c r="R101" i="4"/>
  <c r="S101" i="4"/>
  <c r="R102" i="4"/>
  <c r="S102" i="4"/>
  <c r="R103" i="4"/>
  <c r="S103" i="4"/>
  <c r="R104" i="4"/>
  <c r="S104" i="4"/>
  <c r="R105" i="4"/>
  <c r="S105" i="4"/>
  <c r="R106" i="4"/>
  <c r="S106" i="4"/>
  <c r="R107" i="4"/>
  <c r="S107" i="4"/>
  <c r="R108" i="4"/>
  <c r="S108" i="4"/>
  <c r="R109" i="4"/>
  <c r="S109" i="4"/>
  <c r="R110" i="4"/>
  <c r="S110" i="4"/>
  <c r="R111" i="4"/>
  <c r="S111" i="4"/>
  <c r="R112" i="4"/>
  <c r="S112" i="4"/>
  <c r="R113" i="4"/>
  <c r="S113" i="4"/>
  <c r="R114" i="4"/>
  <c r="S114" i="4"/>
  <c r="R115" i="4"/>
  <c r="S115" i="4"/>
  <c r="R116" i="4"/>
  <c r="S116" i="4"/>
  <c r="R117" i="4"/>
  <c r="S117" i="4"/>
  <c r="R118" i="4"/>
  <c r="S118" i="4"/>
  <c r="R119" i="4"/>
  <c r="S119" i="4"/>
  <c r="R120" i="4"/>
  <c r="S120" i="4"/>
  <c r="R121" i="4"/>
  <c r="S121" i="4"/>
  <c r="R122" i="4"/>
  <c r="S122" i="4"/>
  <c r="R123" i="4"/>
  <c r="S123" i="4"/>
  <c r="R124" i="4"/>
  <c r="S124" i="4"/>
  <c r="R125" i="4"/>
  <c r="S125" i="4"/>
  <c r="R126" i="4"/>
  <c r="S126" i="4"/>
  <c r="R127" i="4"/>
  <c r="S127" i="4"/>
  <c r="R128" i="4"/>
  <c r="S128" i="4"/>
  <c r="R129" i="4"/>
  <c r="S129" i="4"/>
  <c r="R130" i="4"/>
  <c r="S130" i="4"/>
  <c r="R131" i="4"/>
  <c r="S131" i="4"/>
  <c r="R132" i="4"/>
  <c r="S132" i="4"/>
  <c r="R133" i="4"/>
  <c r="S133" i="4"/>
  <c r="R134" i="4"/>
  <c r="S134" i="4"/>
  <c r="R135" i="4"/>
  <c r="S135" i="4"/>
  <c r="R136" i="4"/>
  <c r="S136" i="4"/>
  <c r="R137" i="4"/>
  <c r="S137" i="4"/>
  <c r="R138" i="4"/>
  <c r="S138" i="4"/>
  <c r="R139" i="4"/>
  <c r="S139" i="4"/>
  <c r="R140" i="4"/>
  <c r="S140" i="4"/>
  <c r="R141" i="4"/>
  <c r="S141" i="4"/>
  <c r="R142" i="4"/>
  <c r="S142" i="4"/>
  <c r="R143" i="4"/>
  <c r="S143" i="4"/>
  <c r="R144" i="4"/>
  <c r="S144" i="4"/>
  <c r="R145" i="4"/>
  <c r="S145" i="4"/>
  <c r="R146" i="4"/>
  <c r="S146" i="4"/>
  <c r="R147" i="4"/>
  <c r="S147" i="4"/>
  <c r="R148" i="4"/>
  <c r="S148" i="4"/>
  <c r="R149" i="4"/>
  <c r="S149" i="4"/>
  <c r="R150" i="4"/>
  <c r="S150" i="4"/>
  <c r="R151" i="4"/>
  <c r="S151" i="4"/>
  <c r="R152" i="4"/>
  <c r="S152" i="4"/>
  <c r="R153" i="4"/>
  <c r="S153" i="4"/>
  <c r="R154" i="4"/>
  <c r="S154" i="4"/>
  <c r="R155" i="4"/>
  <c r="S155" i="4"/>
  <c r="R156" i="4"/>
  <c r="S156" i="4"/>
  <c r="R157" i="4"/>
  <c r="S157" i="4"/>
  <c r="R158" i="4"/>
  <c r="S158" i="4"/>
  <c r="R159" i="4"/>
  <c r="S159" i="4"/>
  <c r="R160" i="4"/>
  <c r="S160" i="4"/>
  <c r="R161" i="4"/>
  <c r="S161" i="4"/>
  <c r="R162" i="4"/>
  <c r="S162" i="4"/>
  <c r="R163" i="4"/>
  <c r="S163" i="4"/>
  <c r="R164" i="4"/>
  <c r="S164" i="4"/>
  <c r="R165" i="4"/>
  <c r="S165" i="4"/>
  <c r="R166" i="4"/>
  <c r="S166" i="4"/>
  <c r="R167" i="4"/>
  <c r="S167" i="4"/>
  <c r="R168" i="4"/>
  <c r="S168" i="4"/>
  <c r="R169" i="4"/>
  <c r="S169" i="4"/>
  <c r="R170" i="4"/>
  <c r="S170" i="4"/>
  <c r="R171" i="4"/>
  <c r="S171" i="4"/>
  <c r="R172" i="4"/>
  <c r="S172" i="4"/>
  <c r="R173" i="4"/>
  <c r="S173" i="4"/>
  <c r="R174" i="4"/>
  <c r="S174" i="4"/>
  <c r="R175" i="4"/>
  <c r="S175" i="4"/>
  <c r="R176" i="4"/>
  <c r="S176" i="4"/>
  <c r="R177" i="4"/>
  <c r="S177" i="4"/>
  <c r="R178" i="4"/>
  <c r="S178" i="4"/>
  <c r="R179" i="4"/>
  <c r="S179" i="4"/>
  <c r="R180" i="4"/>
  <c r="S180" i="4"/>
  <c r="R181" i="4"/>
  <c r="S181" i="4"/>
  <c r="R182" i="4"/>
  <c r="S182" i="4"/>
  <c r="R183" i="4"/>
  <c r="S183" i="4"/>
  <c r="R184" i="4"/>
  <c r="S184" i="4"/>
  <c r="R185" i="4"/>
  <c r="S185" i="4"/>
  <c r="R186" i="4"/>
  <c r="S186" i="4"/>
  <c r="R187" i="4"/>
  <c r="S187" i="4"/>
  <c r="R188" i="4"/>
  <c r="S188" i="4"/>
  <c r="R189" i="4"/>
  <c r="S189" i="4"/>
  <c r="R190" i="4"/>
  <c r="S190" i="4"/>
  <c r="R191" i="4"/>
  <c r="S191" i="4"/>
  <c r="R192" i="4"/>
  <c r="S192" i="4"/>
  <c r="R193" i="4"/>
  <c r="S193" i="4"/>
  <c r="R194" i="4"/>
  <c r="S194" i="4"/>
  <c r="R195" i="4"/>
  <c r="S195" i="4"/>
  <c r="R196" i="4"/>
  <c r="S196" i="4"/>
  <c r="R197" i="4"/>
  <c r="S197" i="4"/>
  <c r="R198" i="4"/>
  <c r="S198" i="4"/>
  <c r="R199" i="4"/>
  <c r="S199" i="4"/>
  <c r="R200" i="4"/>
  <c r="S200" i="4"/>
  <c r="R201" i="4"/>
  <c r="S201" i="4"/>
  <c r="R202" i="4"/>
  <c r="S202" i="4"/>
  <c r="R203" i="4"/>
  <c r="S203" i="4"/>
  <c r="R204" i="4"/>
  <c r="S204" i="4"/>
  <c r="R205" i="4"/>
  <c r="S205" i="4"/>
  <c r="R206" i="4"/>
  <c r="S206" i="4"/>
  <c r="R207" i="4"/>
  <c r="S207" i="4"/>
  <c r="R208" i="4"/>
  <c r="S208" i="4"/>
  <c r="R209" i="4"/>
  <c r="S209" i="4"/>
  <c r="R210" i="4"/>
  <c r="S210" i="4"/>
  <c r="R211" i="4"/>
  <c r="S211" i="4"/>
  <c r="R212" i="4"/>
  <c r="S212" i="4"/>
  <c r="R213" i="4"/>
  <c r="S213" i="4"/>
  <c r="R214" i="4"/>
  <c r="S214" i="4"/>
  <c r="R215" i="4"/>
  <c r="S215" i="4"/>
  <c r="R216" i="4"/>
  <c r="S216" i="4"/>
  <c r="R217" i="4"/>
  <c r="S217" i="4"/>
  <c r="R218" i="4"/>
  <c r="S218" i="4"/>
  <c r="R219" i="4"/>
  <c r="S219" i="4"/>
  <c r="R220" i="4"/>
  <c r="S220" i="4"/>
  <c r="R221" i="4"/>
  <c r="S221" i="4"/>
  <c r="R222" i="4"/>
  <c r="S222" i="4"/>
  <c r="R223" i="4"/>
  <c r="S223" i="4"/>
  <c r="R224" i="4"/>
  <c r="S224" i="4"/>
  <c r="R225" i="4"/>
  <c r="S225" i="4"/>
  <c r="R226" i="4"/>
  <c r="S226" i="4"/>
  <c r="R227" i="4"/>
  <c r="S227" i="4"/>
  <c r="R228" i="4"/>
  <c r="S228" i="4"/>
  <c r="R229" i="4"/>
  <c r="S229" i="4"/>
  <c r="R230" i="4"/>
  <c r="S230" i="4"/>
  <c r="R231" i="4"/>
  <c r="S231" i="4"/>
  <c r="R232" i="4"/>
  <c r="S232" i="4"/>
  <c r="R233" i="4"/>
  <c r="S233" i="4"/>
  <c r="R234" i="4"/>
  <c r="S234" i="4"/>
  <c r="R235" i="4"/>
  <c r="S235" i="4"/>
  <c r="R236" i="4"/>
  <c r="S236" i="4"/>
  <c r="R237" i="4"/>
  <c r="S237" i="4"/>
  <c r="R238" i="4"/>
  <c r="S238" i="4"/>
  <c r="R239" i="4"/>
  <c r="S239" i="4"/>
  <c r="R240" i="4"/>
  <c r="S240" i="4"/>
  <c r="R241" i="4"/>
  <c r="S241" i="4"/>
  <c r="R242" i="4"/>
  <c r="S242" i="4"/>
  <c r="R243" i="4"/>
  <c r="S243" i="4"/>
  <c r="R244" i="4"/>
  <c r="S244" i="4"/>
  <c r="R246" i="4"/>
  <c r="S246" i="4"/>
  <c r="R247" i="4"/>
  <c r="S247" i="4"/>
  <c r="R248" i="4"/>
  <c r="S248" i="4"/>
  <c r="R249" i="4"/>
  <c r="S249" i="4"/>
  <c r="R250" i="4"/>
  <c r="S250" i="4"/>
  <c r="R251" i="4"/>
  <c r="S251" i="4"/>
  <c r="R252" i="4"/>
  <c r="S252" i="4"/>
  <c r="R253" i="4"/>
  <c r="S253" i="4"/>
  <c r="R254" i="4"/>
  <c r="S254" i="4"/>
  <c r="R255" i="4"/>
  <c r="S255" i="4"/>
  <c r="R256" i="4"/>
  <c r="S256" i="4"/>
  <c r="R257" i="4"/>
  <c r="S257" i="4"/>
  <c r="R258" i="4"/>
  <c r="S258" i="4"/>
  <c r="R259" i="4"/>
  <c r="S259" i="4"/>
  <c r="R260" i="4"/>
  <c r="S260" i="4"/>
  <c r="R261" i="4"/>
  <c r="S261" i="4"/>
  <c r="R262" i="4"/>
  <c r="S262" i="4"/>
  <c r="R263" i="4"/>
  <c r="S263" i="4"/>
  <c r="R264" i="4"/>
  <c r="S264" i="4"/>
  <c r="R265" i="4"/>
  <c r="S265" i="4"/>
  <c r="R266" i="4"/>
  <c r="S266" i="4"/>
  <c r="R267" i="4"/>
  <c r="S267" i="4"/>
  <c r="R268" i="4"/>
  <c r="S268" i="4"/>
  <c r="R269" i="4"/>
  <c r="S269" i="4"/>
  <c r="R270" i="4"/>
  <c r="S270" i="4"/>
  <c r="R271" i="4"/>
  <c r="S271" i="4"/>
  <c r="R272" i="4"/>
  <c r="S272" i="4"/>
  <c r="R273" i="4"/>
  <c r="S273" i="4"/>
  <c r="R274" i="4"/>
  <c r="S274" i="4"/>
  <c r="R275" i="4"/>
  <c r="S275" i="4"/>
  <c r="R276" i="4"/>
  <c r="S276" i="4"/>
  <c r="R277" i="4"/>
  <c r="S277" i="4"/>
  <c r="R278" i="4"/>
  <c r="S278" i="4"/>
  <c r="R279" i="4"/>
  <c r="S279" i="4"/>
  <c r="R280" i="4"/>
  <c r="S280" i="4"/>
  <c r="R281" i="4"/>
  <c r="S281" i="4"/>
  <c r="R282" i="4"/>
  <c r="S282" i="4"/>
  <c r="R283" i="4"/>
  <c r="S283" i="4"/>
  <c r="R284" i="4"/>
  <c r="S284" i="4"/>
  <c r="R285" i="4"/>
  <c r="S285" i="4"/>
  <c r="R286" i="4"/>
  <c r="S286" i="4"/>
  <c r="R287" i="4"/>
  <c r="S287" i="4"/>
  <c r="R288" i="4"/>
  <c r="S288" i="4"/>
  <c r="R289" i="4"/>
  <c r="S289" i="4"/>
  <c r="R290" i="4"/>
  <c r="S290" i="4"/>
  <c r="R291" i="4"/>
  <c r="S291" i="4"/>
  <c r="R292" i="4"/>
  <c r="S292" i="4"/>
  <c r="R293" i="4"/>
  <c r="S293" i="4"/>
  <c r="R294" i="4"/>
  <c r="S294" i="4"/>
  <c r="R295" i="4"/>
  <c r="S295" i="4"/>
  <c r="R296" i="4"/>
  <c r="S296" i="4"/>
  <c r="R297" i="4"/>
  <c r="S297" i="4"/>
  <c r="R298" i="4"/>
  <c r="S298" i="4"/>
  <c r="R299" i="4"/>
  <c r="S299" i="4"/>
  <c r="R300" i="4"/>
  <c r="S300" i="4"/>
  <c r="R301" i="4"/>
  <c r="S301" i="4"/>
  <c r="R302" i="4"/>
  <c r="S302" i="4"/>
  <c r="R303" i="4"/>
  <c r="S303" i="4"/>
  <c r="R304" i="4"/>
  <c r="S304" i="4"/>
  <c r="R305" i="4"/>
  <c r="S305" i="4"/>
  <c r="R306" i="4"/>
  <c r="S306" i="4"/>
  <c r="R307" i="4"/>
  <c r="S307" i="4"/>
  <c r="R308" i="4"/>
  <c r="S308" i="4"/>
  <c r="R309" i="4"/>
  <c r="S309" i="4"/>
  <c r="R310" i="4"/>
  <c r="S310" i="4"/>
  <c r="R311" i="4"/>
  <c r="S311" i="4"/>
  <c r="R312" i="4"/>
  <c r="S312" i="4"/>
  <c r="R313" i="4"/>
  <c r="S313" i="4"/>
  <c r="R314" i="4"/>
  <c r="S314" i="4"/>
  <c r="R315" i="4"/>
  <c r="S315" i="4"/>
  <c r="R316" i="4"/>
  <c r="S316" i="4"/>
  <c r="R317" i="4"/>
  <c r="S317" i="4"/>
  <c r="R318" i="4"/>
  <c r="S318" i="4"/>
  <c r="R319" i="4"/>
  <c r="S319" i="4"/>
  <c r="R320" i="4"/>
  <c r="S320" i="4"/>
  <c r="R321" i="4"/>
  <c r="S321" i="4"/>
  <c r="R322" i="4"/>
  <c r="S322" i="4"/>
  <c r="R323" i="4"/>
  <c r="S323" i="4"/>
  <c r="R324" i="4"/>
  <c r="S324" i="4"/>
  <c r="R325" i="4"/>
  <c r="S325" i="4"/>
  <c r="R326" i="4"/>
  <c r="S326" i="4"/>
  <c r="R327" i="4"/>
  <c r="S327" i="4"/>
  <c r="R328" i="4"/>
  <c r="S328" i="4"/>
  <c r="R329" i="4"/>
  <c r="S329" i="4"/>
  <c r="R330" i="4"/>
  <c r="S330" i="4"/>
  <c r="R331" i="4"/>
  <c r="S331" i="4"/>
  <c r="R332" i="4"/>
  <c r="S332" i="4"/>
  <c r="R333" i="4"/>
  <c r="S333" i="4"/>
  <c r="R334" i="4"/>
  <c r="S334" i="4"/>
  <c r="R335" i="4"/>
  <c r="S335" i="4"/>
  <c r="R336" i="4"/>
  <c r="S336" i="4"/>
  <c r="R337" i="4"/>
  <c r="S337" i="4"/>
  <c r="R338" i="4"/>
  <c r="S338" i="4"/>
  <c r="R339" i="4"/>
  <c r="S339" i="4"/>
  <c r="R340" i="4"/>
  <c r="S340" i="4"/>
  <c r="R341" i="4"/>
  <c r="S341" i="4"/>
  <c r="R342" i="4"/>
  <c r="S342" i="4"/>
  <c r="R343" i="4"/>
  <c r="S343" i="4"/>
  <c r="R344" i="4"/>
  <c r="S344" i="4"/>
  <c r="R345" i="4"/>
  <c r="S345" i="4"/>
  <c r="R346" i="4"/>
  <c r="S346" i="4"/>
  <c r="R347" i="4"/>
  <c r="S347" i="4"/>
  <c r="R348" i="4"/>
  <c r="S348" i="4"/>
  <c r="R349" i="4"/>
  <c r="S349" i="4"/>
  <c r="R350" i="4"/>
  <c r="S350" i="4"/>
  <c r="R351" i="4"/>
  <c r="S351" i="4"/>
  <c r="R352" i="4"/>
  <c r="S352" i="4"/>
  <c r="R353" i="4"/>
  <c r="S353" i="4"/>
  <c r="R354" i="4"/>
  <c r="S354" i="4"/>
  <c r="R355" i="4"/>
  <c r="S355" i="4"/>
  <c r="R356" i="4"/>
  <c r="S356" i="4"/>
  <c r="R357" i="4"/>
  <c r="S357" i="4"/>
  <c r="R358" i="4"/>
  <c r="S358" i="4"/>
  <c r="R359" i="4"/>
  <c r="S359" i="4"/>
  <c r="R360" i="4"/>
  <c r="S360" i="4"/>
  <c r="R361" i="4"/>
  <c r="S361" i="4"/>
  <c r="R362" i="4"/>
  <c r="S362" i="4"/>
  <c r="R363" i="4"/>
  <c r="S363" i="4"/>
  <c r="R364" i="4"/>
  <c r="S364" i="4"/>
  <c r="R365" i="4"/>
  <c r="S365" i="4"/>
  <c r="R366" i="4"/>
  <c r="S366" i="4"/>
  <c r="R367" i="4"/>
  <c r="S367" i="4"/>
  <c r="R368" i="4"/>
  <c r="S368" i="4"/>
  <c r="R369" i="4"/>
  <c r="S369" i="4"/>
  <c r="R370" i="4"/>
  <c r="S370" i="4"/>
  <c r="R371" i="4"/>
  <c r="S371" i="4"/>
  <c r="R372" i="4"/>
  <c r="S372" i="4"/>
  <c r="R373" i="4"/>
  <c r="S373" i="4"/>
  <c r="R374" i="4"/>
  <c r="S374" i="4"/>
  <c r="R375" i="4"/>
  <c r="S375" i="4"/>
  <c r="R376" i="4"/>
  <c r="S376" i="4"/>
  <c r="R377" i="4"/>
  <c r="S377" i="4"/>
  <c r="R378" i="4"/>
  <c r="S378" i="4"/>
  <c r="R379" i="4"/>
  <c r="S379" i="4"/>
  <c r="R380" i="4"/>
  <c r="S380" i="4"/>
  <c r="R381" i="4"/>
  <c r="S381" i="4"/>
  <c r="R382" i="4"/>
  <c r="S382" i="4"/>
  <c r="R383" i="4"/>
  <c r="S383" i="4"/>
  <c r="R384" i="4"/>
  <c r="S384" i="4"/>
  <c r="R385" i="4"/>
  <c r="S385" i="4"/>
  <c r="R386" i="4"/>
  <c r="S386" i="4"/>
  <c r="R387" i="4"/>
  <c r="S387" i="4"/>
  <c r="R388" i="4"/>
  <c r="S388" i="4"/>
  <c r="R389" i="4"/>
  <c r="S389" i="4"/>
  <c r="R390" i="4"/>
  <c r="S390" i="4"/>
  <c r="R391" i="4"/>
  <c r="S391" i="4"/>
  <c r="R392" i="4"/>
  <c r="S392" i="4"/>
  <c r="R393" i="4"/>
  <c r="S393" i="4"/>
  <c r="R394" i="4"/>
  <c r="S394" i="4"/>
  <c r="R395" i="4"/>
  <c r="S395" i="4"/>
  <c r="R396" i="4"/>
  <c r="S396" i="4"/>
  <c r="R397" i="4"/>
  <c r="S397" i="4"/>
  <c r="R398" i="4"/>
  <c r="S398" i="4"/>
  <c r="R399" i="4"/>
  <c r="S399" i="4"/>
  <c r="R400" i="4"/>
  <c r="S400" i="4"/>
  <c r="R401" i="4"/>
  <c r="S401" i="4"/>
  <c r="R402" i="4"/>
  <c r="S402" i="4"/>
  <c r="R4" i="4"/>
  <c r="S4" i="4"/>
  <c r="R5" i="4"/>
  <c r="S5" i="4"/>
  <c r="R6" i="4"/>
  <c r="S6" i="4"/>
  <c r="R7" i="4"/>
  <c r="S7" i="4"/>
  <c r="R8" i="4"/>
  <c r="S8" i="4"/>
  <c r="R9" i="4"/>
  <c r="S9" i="4"/>
  <c r="R10" i="4"/>
  <c r="S10" i="4"/>
  <c r="R3" i="4"/>
  <c r="S3" i="4"/>
  <c r="P3" i="4"/>
  <c r="P402" i="4"/>
  <c r="P401" i="4"/>
  <c r="P400" i="4"/>
  <c r="P399" i="4"/>
  <c r="P398" i="4"/>
  <c r="P397" i="4"/>
  <c r="P396" i="4"/>
  <c r="P395" i="4"/>
  <c r="P394" i="4"/>
  <c r="P393" i="4"/>
  <c r="P392" i="4"/>
  <c r="P391" i="4"/>
  <c r="P390" i="4"/>
  <c r="P389" i="4"/>
  <c r="P388" i="4"/>
  <c r="P387" i="4"/>
  <c r="P386" i="4"/>
  <c r="P385" i="4"/>
  <c r="P384" i="4"/>
  <c r="P383" i="4"/>
  <c r="P382" i="4"/>
  <c r="P381" i="4"/>
  <c r="P380" i="4"/>
  <c r="P379" i="4"/>
  <c r="P378" i="4"/>
  <c r="P377" i="4"/>
  <c r="P376" i="4"/>
  <c r="P375" i="4"/>
  <c r="P374" i="4"/>
  <c r="P373" i="4"/>
  <c r="P372" i="4"/>
  <c r="P371" i="4"/>
  <c r="P370" i="4"/>
  <c r="P369" i="4"/>
  <c r="P368" i="4"/>
  <c r="P367" i="4"/>
  <c r="P366" i="4"/>
  <c r="P365" i="4"/>
  <c r="P364" i="4"/>
  <c r="P363" i="4"/>
  <c r="P362" i="4"/>
  <c r="P361" i="4"/>
  <c r="P360" i="4"/>
  <c r="P359" i="4"/>
  <c r="P358" i="4"/>
  <c r="P357" i="4"/>
  <c r="P356" i="4"/>
  <c r="P355" i="4"/>
  <c r="P354" i="4"/>
  <c r="P353" i="4"/>
  <c r="P352" i="4"/>
  <c r="P351" i="4"/>
  <c r="P350" i="4"/>
  <c r="P349" i="4"/>
  <c r="P348" i="4"/>
  <c r="P347" i="4"/>
  <c r="P346" i="4"/>
  <c r="P345" i="4"/>
  <c r="P344" i="4"/>
  <c r="P343" i="4"/>
  <c r="P342" i="4"/>
  <c r="P341" i="4"/>
  <c r="P340" i="4"/>
  <c r="P339" i="4"/>
  <c r="P338" i="4"/>
  <c r="P337" i="4"/>
  <c r="P336" i="4"/>
  <c r="P335" i="4"/>
  <c r="P334" i="4"/>
  <c r="P333" i="4"/>
  <c r="P332" i="4"/>
  <c r="P331" i="4"/>
  <c r="P330" i="4"/>
  <c r="P329" i="4"/>
  <c r="P328" i="4"/>
  <c r="P327" i="4"/>
  <c r="P326" i="4"/>
  <c r="P325" i="4"/>
  <c r="P324" i="4"/>
  <c r="P323" i="4"/>
  <c r="P322" i="4"/>
  <c r="P321" i="4"/>
  <c r="P320" i="4"/>
  <c r="P319" i="4"/>
  <c r="P318" i="4"/>
  <c r="P317" i="4"/>
  <c r="P316" i="4"/>
  <c r="P315" i="4"/>
  <c r="P314" i="4"/>
  <c r="P313" i="4"/>
  <c r="P312" i="4"/>
  <c r="P311" i="4"/>
  <c r="P310" i="4"/>
  <c r="P309" i="4"/>
  <c r="P308" i="4"/>
  <c r="P307" i="4"/>
  <c r="P306" i="4"/>
  <c r="P305" i="4"/>
  <c r="P304" i="4"/>
  <c r="P303" i="4"/>
  <c r="P302" i="4"/>
  <c r="P301" i="4"/>
  <c r="P300" i="4"/>
  <c r="P299" i="4"/>
  <c r="P298" i="4"/>
  <c r="P297" i="4"/>
  <c r="P296" i="4"/>
  <c r="P295" i="4"/>
  <c r="P294" i="4"/>
  <c r="P293" i="4"/>
  <c r="P292" i="4"/>
  <c r="P291" i="4"/>
  <c r="P290" i="4"/>
  <c r="P289" i="4"/>
  <c r="P288" i="4"/>
  <c r="P287" i="4"/>
  <c r="P286" i="4"/>
  <c r="P285" i="4"/>
  <c r="P284" i="4"/>
  <c r="P283" i="4"/>
  <c r="P282" i="4"/>
  <c r="P281" i="4"/>
  <c r="P280" i="4"/>
  <c r="P279" i="4"/>
  <c r="P278" i="4"/>
  <c r="P277" i="4"/>
  <c r="P276" i="4"/>
  <c r="P275" i="4"/>
  <c r="P274" i="4"/>
  <c r="P273" i="4"/>
  <c r="P272" i="4"/>
  <c r="P271" i="4"/>
  <c r="P270" i="4"/>
  <c r="P269" i="4"/>
  <c r="P268" i="4"/>
  <c r="P267" i="4"/>
  <c r="P266" i="4"/>
  <c r="P265" i="4"/>
  <c r="P264" i="4"/>
  <c r="P263" i="4"/>
  <c r="P262" i="4"/>
  <c r="P261" i="4"/>
  <c r="P260" i="4"/>
  <c r="P259" i="4"/>
  <c r="P258" i="4"/>
  <c r="P257" i="4"/>
  <c r="P256" i="4"/>
  <c r="P255" i="4"/>
  <c r="P254" i="4"/>
  <c r="P253" i="4"/>
  <c r="P252" i="4"/>
  <c r="P251" i="4"/>
  <c r="P250" i="4"/>
  <c r="P249" i="4"/>
  <c r="P248" i="4"/>
  <c r="P247" i="4"/>
  <c r="P246" i="4"/>
  <c r="P244" i="4"/>
  <c r="P243" i="4"/>
  <c r="P242" i="4"/>
  <c r="P241" i="4"/>
  <c r="P240" i="4"/>
  <c r="P239" i="4"/>
  <c r="P238" i="4"/>
  <c r="P237" i="4"/>
  <c r="P236" i="4"/>
  <c r="P235" i="4"/>
  <c r="P234" i="4"/>
  <c r="P233" i="4"/>
  <c r="P232" i="4"/>
  <c r="P231" i="4"/>
  <c r="P230" i="4"/>
  <c r="P229" i="4"/>
  <c r="P228" i="4"/>
  <c r="P227" i="4"/>
  <c r="P226" i="4"/>
  <c r="P225" i="4"/>
  <c r="P224" i="4"/>
  <c r="P223" i="4"/>
  <c r="P222" i="4"/>
  <c r="P221" i="4"/>
  <c r="P220" i="4"/>
  <c r="P219" i="4"/>
  <c r="P218" i="4"/>
  <c r="P217" i="4"/>
  <c r="P216" i="4"/>
  <c r="P215" i="4"/>
  <c r="P214" i="4"/>
  <c r="P213" i="4"/>
  <c r="P212" i="4"/>
  <c r="P211" i="4"/>
  <c r="P210" i="4"/>
  <c r="P209" i="4"/>
  <c r="P208" i="4"/>
  <c r="P207" i="4"/>
  <c r="P206" i="4"/>
  <c r="P205" i="4"/>
  <c r="P204" i="4"/>
  <c r="P203" i="4"/>
  <c r="P202" i="4"/>
  <c r="P201" i="4"/>
  <c r="P200" i="4"/>
  <c r="P199" i="4"/>
  <c r="P198" i="4"/>
  <c r="P197" i="4"/>
  <c r="P196" i="4"/>
  <c r="P195" i="4"/>
  <c r="P194" i="4"/>
  <c r="P193" i="4"/>
  <c r="P192" i="4"/>
  <c r="P191" i="4"/>
  <c r="P190" i="4"/>
  <c r="P189" i="4"/>
  <c r="P188" i="4"/>
  <c r="P187" i="4"/>
  <c r="P186" i="4"/>
  <c r="P185" i="4"/>
  <c r="P184" i="4"/>
  <c r="P183" i="4"/>
  <c r="P182" i="4"/>
  <c r="P181" i="4"/>
  <c r="P180" i="4"/>
  <c r="P179" i="4"/>
  <c r="P178" i="4"/>
  <c r="P177" i="4"/>
  <c r="P176" i="4"/>
  <c r="P175" i="4"/>
  <c r="P174" i="4"/>
  <c r="P173" i="4"/>
  <c r="P172" i="4"/>
  <c r="P171" i="4"/>
  <c r="P170" i="4"/>
  <c r="P169" i="4"/>
  <c r="P168" i="4"/>
  <c r="P167" i="4"/>
  <c r="P166" i="4"/>
  <c r="P165" i="4"/>
  <c r="P164" i="4"/>
  <c r="P163" i="4"/>
  <c r="P162" i="4"/>
  <c r="P161" i="4"/>
  <c r="P160" i="4"/>
  <c r="P159" i="4"/>
  <c r="P158" i="4"/>
  <c r="P157" i="4"/>
  <c r="P156" i="4"/>
  <c r="P155" i="4"/>
  <c r="P154" i="4"/>
  <c r="P153" i="4"/>
  <c r="P152" i="4"/>
  <c r="P151" i="4"/>
  <c r="P150" i="4"/>
  <c r="P149" i="4"/>
  <c r="P148" i="4"/>
  <c r="P147" i="4"/>
  <c r="P146" i="4"/>
  <c r="P145" i="4"/>
  <c r="P144" i="4"/>
  <c r="P143" i="4"/>
  <c r="P142" i="4"/>
  <c r="P141" i="4"/>
  <c r="P140" i="4"/>
  <c r="P139" i="4"/>
  <c r="P138" i="4"/>
  <c r="P137" i="4"/>
  <c r="P136" i="4"/>
  <c r="P135" i="4"/>
  <c r="P134" i="4"/>
  <c r="P133" i="4"/>
  <c r="P132" i="4"/>
  <c r="P131" i="4"/>
  <c r="P130" i="4"/>
  <c r="P129" i="4"/>
  <c r="P128" i="4"/>
  <c r="P127" i="4"/>
  <c r="P126" i="4"/>
  <c r="P125" i="4"/>
  <c r="P124" i="4"/>
  <c r="P123" i="4"/>
  <c r="P122" i="4"/>
  <c r="P121" i="4"/>
  <c r="P120" i="4"/>
  <c r="P119" i="4"/>
  <c r="P118" i="4"/>
  <c r="P117" i="4"/>
  <c r="P116" i="4"/>
  <c r="P115" i="4"/>
  <c r="P114" i="4"/>
  <c r="P113" i="4"/>
  <c r="P112" i="4"/>
  <c r="P111" i="4"/>
  <c r="P110" i="4"/>
  <c r="P109" i="4"/>
  <c r="P108" i="4"/>
  <c r="P107" i="4"/>
  <c r="P106" i="4"/>
  <c r="P105" i="4"/>
  <c r="P104" i="4"/>
  <c r="P103" i="4"/>
  <c r="P102" i="4"/>
  <c r="P101" i="4"/>
  <c r="P100" i="4"/>
  <c r="P99" i="4"/>
  <c r="P98" i="4"/>
  <c r="P97" i="4"/>
  <c r="P96" i="4"/>
  <c r="P95" i="4"/>
  <c r="P94" i="4"/>
  <c r="P93" i="4"/>
  <c r="P92" i="4"/>
  <c r="P91" i="4"/>
  <c r="P90" i="4"/>
  <c r="P89" i="4"/>
  <c r="P88" i="4"/>
  <c r="P87" i="4"/>
  <c r="P86" i="4"/>
  <c r="P85" i="4"/>
  <c r="P84" i="4"/>
  <c r="P83" i="4"/>
  <c r="P82" i="4"/>
  <c r="P81" i="4"/>
  <c r="P80" i="4"/>
  <c r="P79" i="4"/>
  <c r="P78" i="4"/>
  <c r="P77" i="4"/>
  <c r="P76" i="4"/>
  <c r="P75" i="4"/>
  <c r="P74" i="4"/>
  <c r="P73" i="4"/>
  <c r="P72" i="4"/>
  <c r="P71" i="4"/>
  <c r="P70" i="4"/>
  <c r="P69" i="4"/>
  <c r="P68" i="4"/>
  <c r="P67" i="4"/>
  <c r="P66" i="4"/>
  <c r="P65" i="4"/>
  <c r="P64" i="4"/>
  <c r="P63" i="4"/>
  <c r="P62" i="4"/>
  <c r="P61" i="4"/>
  <c r="P60" i="4"/>
  <c r="P59" i="4"/>
  <c r="P58" i="4"/>
  <c r="P57" i="4"/>
  <c r="P56" i="4"/>
  <c r="P55" i="4"/>
  <c r="P54" i="4"/>
  <c r="P53" i="4"/>
  <c r="P52" i="4"/>
  <c r="P51" i="4"/>
  <c r="P50" i="4"/>
  <c r="P49" i="4"/>
  <c r="P48" i="4"/>
  <c r="P47" i="4"/>
  <c r="P46" i="4"/>
  <c r="P45" i="4"/>
  <c r="P44" i="4"/>
  <c r="P43" i="4"/>
  <c r="P42" i="4"/>
  <c r="P41" i="4"/>
  <c r="P40" i="4"/>
  <c r="P39" i="4"/>
  <c r="P38" i="4"/>
  <c r="P37" i="4"/>
  <c r="P36" i="4"/>
  <c r="P35" i="4"/>
  <c r="P34" i="4"/>
  <c r="P33" i="4"/>
  <c r="P32" i="4"/>
  <c r="P31" i="4"/>
  <c r="P30" i="4"/>
  <c r="P29" i="4"/>
  <c r="P28" i="4"/>
  <c r="P27" i="4"/>
  <c r="P26" i="4"/>
  <c r="P25" i="4"/>
  <c r="P24" i="4"/>
  <c r="P23" i="4"/>
  <c r="P22" i="4"/>
  <c r="P21" i="4"/>
  <c r="P20" i="4"/>
  <c r="P19" i="4"/>
  <c r="P18" i="4"/>
  <c r="P17" i="4"/>
  <c r="P16" i="4"/>
  <c r="P15" i="4"/>
  <c r="P14" i="4"/>
  <c r="P13" i="4"/>
  <c r="P12" i="4"/>
  <c r="P11" i="4"/>
  <c r="P10" i="4"/>
  <c r="P9" i="4"/>
  <c r="P8" i="4"/>
  <c r="P7" i="4"/>
  <c r="P6" i="4"/>
  <c r="P5" i="4"/>
  <c r="P4" i="4"/>
  <c r="L385" i="4"/>
  <c r="L386" i="4"/>
  <c r="L387" i="4"/>
  <c r="L388" i="4"/>
  <c r="L389" i="4"/>
  <c r="L390" i="4"/>
  <c r="L391" i="4"/>
  <c r="L392" i="4"/>
  <c r="L393" i="4"/>
  <c r="L394" i="4"/>
  <c r="L395" i="4"/>
  <c r="L396" i="4"/>
  <c r="L397" i="4"/>
  <c r="L398" i="4"/>
  <c r="L399" i="4"/>
  <c r="L400" i="4"/>
  <c r="L401" i="4"/>
  <c r="L402" i="4"/>
  <c r="L384" i="4"/>
  <c r="L383" i="4"/>
  <c r="L365" i="4"/>
  <c r="L366" i="4"/>
  <c r="L367" i="4"/>
  <c r="L368" i="4"/>
  <c r="L369" i="4"/>
  <c r="L370" i="4"/>
  <c r="L371" i="4"/>
  <c r="L372" i="4"/>
  <c r="L373" i="4"/>
  <c r="L374" i="4"/>
  <c r="L375" i="4"/>
  <c r="L376" i="4"/>
  <c r="L377" i="4"/>
  <c r="L378" i="4"/>
  <c r="L379" i="4"/>
  <c r="L380" i="4"/>
  <c r="L381" i="4"/>
  <c r="L382" i="4"/>
  <c r="L364" i="4"/>
  <c r="L363" i="4"/>
  <c r="L362" i="4"/>
  <c r="L345" i="4"/>
  <c r="L346" i="4"/>
  <c r="L347" i="4"/>
  <c r="L348" i="4"/>
  <c r="L349" i="4"/>
  <c r="L350" i="4"/>
  <c r="L351" i="4"/>
  <c r="L352" i="4"/>
  <c r="L353" i="4"/>
  <c r="L354" i="4"/>
  <c r="L355" i="4"/>
  <c r="L356" i="4"/>
  <c r="L357" i="4"/>
  <c r="L358" i="4"/>
  <c r="L359" i="4"/>
  <c r="L360" i="4"/>
  <c r="L361" i="4"/>
  <c r="L344" i="4"/>
  <c r="L343" i="4"/>
  <c r="L325" i="4"/>
  <c r="L326" i="4"/>
  <c r="L327" i="4"/>
  <c r="L328" i="4"/>
  <c r="L329" i="4"/>
  <c r="L330" i="4"/>
  <c r="L331" i="4"/>
  <c r="L332" i="4"/>
  <c r="L333" i="4"/>
  <c r="L334" i="4"/>
  <c r="L335" i="4"/>
  <c r="L336" i="4"/>
  <c r="L337" i="4"/>
  <c r="L338" i="4"/>
  <c r="L339" i="4"/>
  <c r="L340" i="4"/>
  <c r="L341" i="4"/>
  <c r="L342" i="4"/>
  <c r="L324" i="4"/>
  <c r="L323" i="4"/>
  <c r="L321" i="4"/>
  <c r="L322" i="4"/>
  <c r="L305" i="4"/>
  <c r="L306" i="4"/>
  <c r="L307" i="4"/>
  <c r="L308" i="4"/>
  <c r="L309" i="4"/>
  <c r="L310" i="4"/>
  <c r="L311" i="4"/>
  <c r="L312" i="4"/>
  <c r="L313" i="4"/>
  <c r="L314" i="4"/>
  <c r="L315" i="4"/>
  <c r="L316" i="4"/>
  <c r="L317" i="4"/>
  <c r="L318" i="4"/>
  <c r="L319" i="4"/>
  <c r="L320" i="4"/>
  <c r="L304" i="4"/>
  <c r="L303" i="4"/>
  <c r="L300" i="4"/>
  <c r="L301" i="4"/>
  <c r="L302" i="4"/>
  <c r="L285" i="4"/>
  <c r="L286" i="4"/>
  <c r="L287" i="4"/>
  <c r="L288" i="4"/>
  <c r="L289" i="4"/>
  <c r="L290" i="4"/>
  <c r="L291" i="4"/>
  <c r="L292" i="4"/>
  <c r="L293" i="4"/>
  <c r="L294" i="4"/>
  <c r="L295" i="4"/>
  <c r="L296" i="4"/>
  <c r="L297" i="4"/>
  <c r="L298" i="4"/>
  <c r="L299" i="4"/>
  <c r="L284" i="4"/>
  <c r="L283" i="4"/>
  <c r="L282" i="4"/>
  <c r="L280" i="4"/>
  <c r="L281" i="4"/>
  <c r="L265" i="4"/>
  <c r="L266" i="4"/>
  <c r="L267" i="4"/>
  <c r="L268" i="4"/>
  <c r="L269" i="4"/>
  <c r="L270" i="4"/>
  <c r="L271" i="4"/>
  <c r="L272" i="4"/>
  <c r="L273" i="4"/>
  <c r="L274" i="4"/>
  <c r="L275" i="4"/>
  <c r="L276" i="4"/>
  <c r="L277" i="4"/>
  <c r="L278" i="4"/>
  <c r="L279" i="4"/>
  <c r="L264" i="4"/>
  <c r="L263" i="4"/>
  <c r="L260" i="4"/>
  <c r="L261" i="4"/>
  <c r="L262" i="4"/>
  <c r="L245" i="4"/>
  <c r="L246" i="4"/>
  <c r="L247" i="4"/>
  <c r="L248" i="4"/>
  <c r="L249" i="4"/>
  <c r="L250" i="4"/>
  <c r="L251" i="4"/>
  <c r="L252" i="4"/>
  <c r="L253" i="4"/>
  <c r="L254" i="4"/>
  <c r="L255" i="4"/>
  <c r="L256" i="4"/>
  <c r="L257" i="4"/>
  <c r="L258" i="4"/>
  <c r="L259" i="4"/>
  <c r="L244" i="4"/>
  <c r="L24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L156" i="4"/>
  <c r="L157" i="4"/>
  <c r="L158" i="4"/>
  <c r="L159" i="4"/>
  <c r="L160" i="4"/>
  <c r="L161" i="4"/>
  <c r="L162" i="4"/>
  <c r="L163" i="4"/>
  <c r="L164" i="4"/>
  <c r="L165" i="4"/>
  <c r="L166" i="4"/>
  <c r="L167" i="4"/>
  <c r="L168" i="4"/>
  <c r="L169" i="4"/>
  <c r="L170" i="4"/>
  <c r="L171" i="4"/>
  <c r="L172" i="4"/>
  <c r="L173" i="4"/>
  <c r="L174" i="4"/>
  <c r="L175" i="4"/>
  <c r="L176" i="4"/>
  <c r="L177" i="4"/>
  <c r="L178" i="4"/>
  <c r="L179" i="4"/>
  <c r="L180" i="4"/>
  <c r="L181" i="4"/>
  <c r="L182" i="4"/>
  <c r="L183" i="4"/>
  <c r="L184" i="4"/>
  <c r="L185" i="4"/>
  <c r="L186" i="4"/>
  <c r="L187" i="4"/>
  <c r="L188" i="4"/>
  <c r="L189" i="4"/>
  <c r="L190" i="4"/>
  <c r="L191" i="4"/>
  <c r="L192" i="4"/>
  <c r="L193" i="4"/>
  <c r="L194" i="4"/>
  <c r="L195" i="4"/>
  <c r="L196" i="4"/>
  <c r="L197" i="4"/>
  <c r="L198" i="4"/>
  <c r="L199" i="4"/>
  <c r="L200" i="4"/>
  <c r="L201" i="4"/>
  <c r="L202" i="4"/>
  <c r="L203" i="4"/>
  <c r="L204" i="4"/>
  <c r="L205" i="4"/>
  <c r="L206" i="4"/>
  <c r="L207" i="4"/>
  <c r="L208" i="4"/>
  <c r="L209" i="4"/>
  <c r="L210" i="4"/>
  <c r="L211" i="4"/>
  <c r="L212" i="4"/>
  <c r="L213" i="4"/>
  <c r="L214" i="4"/>
  <c r="L215" i="4"/>
  <c r="L216" i="4"/>
  <c r="L217" i="4"/>
  <c r="L218" i="4"/>
  <c r="L219" i="4"/>
  <c r="L220" i="4"/>
  <c r="L221" i="4"/>
  <c r="L222" i="4"/>
  <c r="L223" i="4"/>
  <c r="L224" i="4"/>
  <c r="L225" i="4"/>
  <c r="L226" i="4"/>
  <c r="L227" i="4"/>
  <c r="L228" i="4"/>
  <c r="L229" i="4"/>
  <c r="L230" i="4"/>
  <c r="L231" i="4"/>
  <c r="L232" i="4"/>
  <c r="L233" i="4"/>
  <c r="L234" i="4"/>
  <c r="L235" i="4"/>
  <c r="L236" i="4"/>
  <c r="L237" i="4"/>
  <c r="L238" i="4"/>
  <c r="L239" i="4"/>
  <c r="L240" i="4"/>
  <c r="L241" i="4"/>
  <c r="L242" i="4"/>
  <c r="L3" i="4"/>
  <c r="H89" i="1"/>
  <c r="H90" i="1"/>
  <c r="H91" i="1"/>
  <c r="H92" i="1"/>
  <c r="H93" i="1"/>
  <c r="H94" i="1"/>
  <c r="H95" i="1"/>
  <c r="H96" i="1"/>
  <c r="B48" i="1"/>
  <c r="C55" i="1"/>
  <c r="C58" i="1"/>
  <c r="C59" i="1"/>
  <c r="K88" i="1"/>
  <c r="L88" i="1"/>
  <c r="K89" i="1"/>
  <c r="L89" i="1"/>
  <c r="K90" i="1"/>
  <c r="L90" i="1"/>
  <c r="K91" i="1"/>
  <c r="L91" i="1"/>
  <c r="K92" i="1"/>
  <c r="L92" i="1"/>
  <c r="K93" i="1"/>
  <c r="L93" i="1"/>
  <c r="K94" i="1"/>
  <c r="L94" i="1"/>
  <c r="K95" i="1"/>
  <c r="L95" i="1"/>
  <c r="K96" i="1"/>
  <c r="L96" i="1"/>
  <c r="L97" i="1"/>
  <c r="F55" i="1"/>
  <c r="F58" i="1"/>
  <c r="F59" i="1"/>
  <c r="F63" i="1"/>
  <c r="I91" i="1"/>
  <c r="D55" i="1"/>
  <c r="D58" i="1"/>
  <c r="D59" i="1"/>
  <c r="D63" i="1"/>
  <c r="I89" i="1"/>
  <c r="K55" i="1"/>
  <c r="K58" i="1"/>
  <c r="K59" i="1"/>
  <c r="K63" i="1"/>
  <c r="J55" i="1"/>
  <c r="J58" i="1"/>
  <c r="J59" i="1"/>
  <c r="J63" i="1"/>
  <c r="I55" i="1"/>
  <c r="I58" i="1"/>
  <c r="I59" i="1"/>
  <c r="I63" i="1"/>
  <c r="H55" i="1"/>
  <c r="H58" i="1"/>
  <c r="H59" i="1"/>
  <c r="H63" i="1"/>
  <c r="G55" i="1"/>
  <c r="G58" i="1"/>
  <c r="G59" i="1"/>
  <c r="G63" i="1"/>
  <c r="E55" i="1"/>
  <c r="E58" i="1"/>
  <c r="E59" i="1"/>
  <c r="E63" i="1"/>
  <c r="I90" i="1"/>
  <c r="I92" i="1"/>
  <c r="I93" i="1"/>
  <c r="I94" i="1"/>
  <c r="I95" i="1"/>
  <c r="I96" i="1"/>
  <c r="I97" i="1"/>
  <c r="C65" i="1"/>
  <c r="N109" i="2"/>
  <c r="Q109" i="2"/>
  <c r="P109" i="2"/>
  <c r="O109" i="2"/>
  <c r="N108" i="2"/>
  <c r="Q108" i="2"/>
  <c r="P108" i="2"/>
  <c r="O108" i="2"/>
  <c r="N107" i="2"/>
  <c r="Q107" i="2"/>
  <c r="P107" i="2"/>
  <c r="O107" i="2"/>
  <c r="H107" i="2"/>
  <c r="G107" i="2"/>
  <c r="F107" i="2"/>
  <c r="E107" i="2"/>
  <c r="D107" i="2"/>
  <c r="C107" i="2"/>
  <c r="B107" i="2"/>
  <c r="W106" i="2"/>
  <c r="Y106" i="2"/>
  <c r="K61" i="1"/>
  <c r="J61" i="1"/>
  <c r="I61" i="1"/>
  <c r="H61" i="1"/>
  <c r="G61" i="1"/>
  <c r="F61" i="1"/>
  <c r="E61" i="1"/>
  <c r="D61" i="1"/>
  <c r="C61" i="1"/>
  <c r="K60" i="1"/>
  <c r="J60" i="1"/>
  <c r="I60" i="1"/>
  <c r="H60" i="1"/>
  <c r="G60" i="1"/>
  <c r="F60" i="1"/>
  <c r="E60" i="1"/>
  <c r="D60" i="1"/>
  <c r="C60" i="1"/>
  <c r="K56" i="1"/>
  <c r="J56" i="1"/>
  <c r="I56" i="1"/>
  <c r="H56" i="1"/>
  <c r="G56" i="1"/>
  <c r="F56" i="1"/>
  <c r="E56" i="1"/>
  <c r="D56" i="1"/>
  <c r="C56" i="1"/>
  <c r="G45" i="1"/>
  <c r="J45" i="1"/>
  <c r="K45" i="1"/>
  <c r="C45" i="1"/>
  <c r="D45" i="1"/>
  <c r="G44" i="1"/>
  <c r="J44" i="1"/>
  <c r="K44" i="1"/>
  <c r="C44" i="1"/>
  <c r="D44" i="1"/>
  <c r="G43" i="1"/>
  <c r="J43" i="1"/>
  <c r="K43" i="1"/>
  <c r="C43" i="1"/>
  <c r="D43" i="1"/>
  <c r="G42" i="1"/>
  <c r="J42" i="1"/>
  <c r="K42" i="1"/>
  <c r="C42" i="1"/>
  <c r="D42" i="1"/>
  <c r="G41" i="1"/>
  <c r="J41" i="1"/>
  <c r="K41" i="1"/>
  <c r="C41" i="1"/>
  <c r="D41" i="1"/>
  <c r="G40" i="1"/>
  <c r="J40" i="1"/>
  <c r="K40" i="1"/>
  <c r="C40" i="1"/>
  <c r="D40" i="1"/>
  <c r="G39" i="1"/>
  <c r="J39" i="1"/>
  <c r="K39" i="1"/>
  <c r="C39" i="1"/>
  <c r="D39" i="1"/>
  <c r="G38" i="1"/>
  <c r="J38" i="1"/>
  <c r="K38" i="1"/>
  <c r="C38" i="1"/>
  <c r="D38" i="1"/>
  <c r="C37" i="1"/>
  <c r="D37" i="1"/>
  <c r="B31" i="1"/>
  <c r="W31" i="1"/>
  <c r="V31" i="1"/>
  <c r="U31" i="1"/>
  <c r="T31" i="1"/>
  <c r="R31" i="1"/>
  <c r="Q31" i="1"/>
  <c r="P31" i="1"/>
  <c r="O31" i="1"/>
  <c r="N31" i="1"/>
  <c r="B30" i="1"/>
  <c r="W30" i="1"/>
  <c r="V30" i="1"/>
  <c r="U30" i="1"/>
  <c r="T30" i="1"/>
  <c r="R30" i="1"/>
  <c r="Q30" i="1"/>
  <c r="P30" i="1"/>
  <c r="O30" i="1"/>
  <c r="N30" i="1"/>
  <c r="B29" i="1"/>
  <c r="W29" i="1"/>
  <c r="V29" i="1"/>
  <c r="U29" i="1"/>
  <c r="T29" i="1"/>
  <c r="R29" i="1"/>
  <c r="Q29" i="1"/>
  <c r="P29" i="1"/>
  <c r="O29" i="1"/>
  <c r="N29" i="1"/>
  <c r="B28" i="1"/>
  <c r="W28" i="1"/>
  <c r="V28" i="1"/>
  <c r="U28" i="1"/>
  <c r="T28" i="1"/>
  <c r="R28" i="1"/>
  <c r="Q28" i="1"/>
  <c r="P28" i="1"/>
  <c r="O28" i="1"/>
  <c r="N28" i="1"/>
  <c r="B27" i="1"/>
  <c r="W27" i="1"/>
  <c r="V27" i="1"/>
  <c r="U27" i="1"/>
  <c r="T27" i="1"/>
  <c r="R27" i="1"/>
  <c r="Q27" i="1"/>
  <c r="P27" i="1"/>
  <c r="O27" i="1"/>
  <c r="N27" i="1"/>
  <c r="B26" i="1"/>
  <c r="W26" i="1"/>
  <c r="V26" i="1"/>
  <c r="U26" i="1"/>
  <c r="T26" i="1"/>
  <c r="R26" i="1"/>
  <c r="Q26" i="1"/>
  <c r="P26" i="1"/>
  <c r="O26" i="1"/>
  <c r="N26" i="1"/>
  <c r="B25" i="1"/>
  <c r="W25" i="1"/>
  <c r="V25" i="1"/>
  <c r="U25" i="1"/>
  <c r="T25" i="1"/>
  <c r="R25" i="1"/>
  <c r="Q25" i="1"/>
  <c r="P25" i="1"/>
  <c r="O25" i="1"/>
  <c r="N25" i="1"/>
  <c r="B24" i="1"/>
  <c r="W24" i="1"/>
  <c r="V24" i="1"/>
  <c r="U24" i="1"/>
  <c r="T24" i="1"/>
  <c r="R24" i="1"/>
  <c r="Q24" i="1"/>
  <c r="P24" i="1"/>
  <c r="O24" i="1"/>
  <c r="N24" i="1"/>
  <c r="B23" i="1"/>
  <c r="W23" i="1"/>
  <c r="V23" i="1"/>
  <c r="U23" i="1"/>
  <c r="T23" i="1"/>
  <c r="R23" i="1"/>
  <c r="Q23" i="1"/>
  <c r="P23" i="1"/>
  <c r="O23" i="1"/>
  <c r="N23" i="1"/>
  <c r="B22" i="1"/>
  <c r="W22" i="1"/>
  <c r="V22" i="1"/>
  <c r="U22" i="1"/>
  <c r="T22" i="1"/>
  <c r="R22" i="1"/>
  <c r="Q22" i="1"/>
  <c r="P22" i="1"/>
  <c r="O22" i="1"/>
  <c r="N22" i="1"/>
  <c r="B21" i="1"/>
  <c r="W21" i="1"/>
  <c r="V21" i="1"/>
  <c r="U21" i="1"/>
  <c r="T21" i="1"/>
  <c r="R21" i="1"/>
  <c r="Q21" i="1"/>
  <c r="P21" i="1"/>
  <c r="O21" i="1"/>
  <c r="N21" i="1"/>
  <c r="B20" i="1"/>
  <c r="W20" i="1"/>
  <c r="V20" i="1"/>
  <c r="U20" i="1"/>
  <c r="T20" i="1"/>
  <c r="R20" i="1"/>
  <c r="Q20" i="1"/>
  <c r="P20" i="1"/>
  <c r="O20" i="1"/>
  <c r="N20" i="1"/>
  <c r="B19" i="1"/>
  <c r="W19" i="1"/>
  <c r="V19" i="1"/>
  <c r="U19" i="1"/>
  <c r="T19" i="1"/>
  <c r="R19" i="1"/>
  <c r="Q19" i="1"/>
  <c r="P19" i="1"/>
  <c r="O19" i="1"/>
  <c r="N19" i="1"/>
  <c r="B18" i="1"/>
  <c r="W18" i="1"/>
  <c r="V18" i="1"/>
  <c r="U18" i="1"/>
  <c r="T18" i="1"/>
  <c r="R18" i="1"/>
  <c r="Q18" i="1"/>
  <c r="P18" i="1"/>
  <c r="O18" i="1"/>
  <c r="N18" i="1"/>
  <c r="B17" i="1"/>
  <c r="W17" i="1"/>
  <c r="V17" i="1"/>
  <c r="U17" i="1"/>
  <c r="T17" i="1"/>
  <c r="R17" i="1"/>
  <c r="Q17" i="1"/>
  <c r="P17" i="1"/>
  <c r="O17" i="1"/>
  <c r="N17" i="1"/>
  <c r="B16" i="1"/>
  <c r="W16" i="1"/>
  <c r="V16" i="1"/>
  <c r="U16" i="1"/>
  <c r="T16" i="1"/>
  <c r="R16" i="1"/>
  <c r="Q16" i="1"/>
  <c r="P16" i="1"/>
  <c r="O16" i="1"/>
  <c r="N16" i="1"/>
  <c r="B15" i="1"/>
  <c r="W15" i="1"/>
  <c r="V15" i="1"/>
  <c r="U15" i="1"/>
  <c r="T15" i="1"/>
  <c r="R15" i="1"/>
  <c r="Q15" i="1"/>
  <c r="P15" i="1"/>
  <c r="O15" i="1"/>
  <c r="N15" i="1"/>
  <c r="B14" i="1"/>
  <c r="W14" i="1"/>
  <c r="V14" i="1"/>
  <c r="U14" i="1"/>
  <c r="T14" i="1"/>
  <c r="R14" i="1"/>
  <c r="Q14" i="1"/>
  <c r="P14" i="1"/>
  <c r="O14" i="1"/>
  <c r="N14" i="1"/>
  <c r="B13" i="1"/>
  <c r="W13" i="1"/>
  <c r="V13" i="1"/>
  <c r="U13" i="1"/>
  <c r="T13" i="1"/>
  <c r="R13" i="1"/>
  <c r="Q13" i="1"/>
  <c r="P13" i="1"/>
  <c r="O13" i="1"/>
  <c r="N13" i="1"/>
  <c r="B12" i="1"/>
  <c r="W12" i="1"/>
  <c r="V12" i="1"/>
  <c r="U12" i="1"/>
  <c r="T12" i="1"/>
  <c r="R12" i="1"/>
  <c r="Q12" i="1"/>
  <c r="P12" i="1"/>
  <c r="O12" i="1"/>
  <c r="N12" i="1"/>
  <c r="B11" i="1"/>
  <c r="W11" i="1"/>
  <c r="V11" i="1"/>
  <c r="U11" i="1"/>
  <c r="T11" i="1"/>
  <c r="R11" i="1"/>
  <c r="Q11" i="1"/>
  <c r="P11" i="1"/>
  <c r="O11" i="1"/>
  <c r="N11" i="1"/>
  <c r="B10" i="1"/>
  <c r="W10" i="1"/>
  <c r="V10" i="1"/>
  <c r="U10" i="1"/>
  <c r="T10" i="1"/>
  <c r="R10" i="1"/>
  <c r="Q10" i="1"/>
  <c r="P10" i="1"/>
  <c r="O10" i="1"/>
  <c r="N10" i="1"/>
  <c r="B9" i="1"/>
  <c r="W9" i="1"/>
  <c r="V9" i="1"/>
  <c r="U9" i="1"/>
  <c r="T9" i="1"/>
  <c r="R9" i="1"/>
  <c r="Q9" i="1"/>
  <c r="P9" i="1"/>
  <c r="O9" i="1"/>
  <c r="N9" i="1"/>
  <c r="B8" i="1"/>
  <c r="W8" i="1"/>
  <c r="V8" i="1"/>
  <c r="U8" i="1"/>
  <c r="T8" i="1"/>
  <c r="R8" i="1"/>
  <c r="Q8" i="1"/>
  <c r="P8" i="1"/>
  <c r="O8" i="1"/>
  <c r="N8" i="1"/>
  <c r="B7" i="1"/>
  <c r="W7" i="1"/>
  <c r="V7" i="1"/>
  <c r="U7" i="1"/>
  <c r="T7" i="1"/>
  <c r="R7" i="1"/>
  <c r="Q7" i="1"/>
  <c r="P7" i="1"/>
  <c r="O7" i="1"/>
  <c r="N7" i="1"/>
  <c r="B6" i="1"/>
  <c r="W6" i="1"/>
  <c r="V6" i="1"/>
  <c r="U6" i="1"/>
  <c r="T6" i="1"/>
  <c r="R6" i="1"/>
  <c r="Q6" i="1"/>
  <c r="P6" i="1"/>
  <c r="O6" i="1"/>
  <c r="N6" i="1"/>
  <c r="B5" i="1"/>
  <c r="W5" i="1"/>
  <c r="V5" i="1"/>
  <c r="U5" i="1"/>
  <c r="T5" i="1"/>
  <c r="R5" i="1"/>
  <c r="Q5" i="1"/>
  <c r="P5" i="1"/>
  <c r="O5" i="1"/>
  <c r="N5" i="1"/>
  <c r="B4" i="1"/>
  <c r="W4" i="1"/>
  <c r="V4" i="1"/>
  <c r="U4" i="1"/>
  <c r="T4" i="1"/>
  <c r="R4" i="1"/>
  <c r="Q4" i="1"/>
  <c r="P4" i="1"/>
  <c r="O4" i="1"/>
  <c r="N4" i="1"/>
  <c r="B3" i="1"/>
  <c r="W3" i="1"/>
  <c r="V3" i="1"/>
  <c r="U3" i="1"/>
  <c r="T3" i="1"/>
  <c r="R3" i="1"/>
  <c r="Q3" i="1"/>
  <c r="P3" i="1"/>
  <c r="O3" i="1"/>
  <c r="N3" i="1"/>
  <c r="B2" i="1"/>
  <c r="W2" i="1"/>
  <c r="V2" i="1"/>
  <c r="U2" i="1"/>
  <c r="T2" i="1"/>
  <c r="S2" i="1" a="1"/>
  <c r="S2" i="1"/>
  <c r="R2" i="1"/>
  <c r="Q2" i="1"/>
  <c r="P2" i="1"/>
  <c r="O2" i="1"/>
  <c r="N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<sst xmlns="http://schemas.openxmlformats.org/spreadsheetml/2006/main" count="307" uniqueCount="130">
  <si>
    <t>T100C_V1_0</t>
  </si>
  <si>
    <t>T100C_V1_2</t>
  </si>
  <si>
    <t>T100C_V1_4</t>
  </si>
  <si>
    <t>T120C_V1_0</t>
  </si>
  <si>
    <t>T120C_V1_2</t>
  </si>
  <si>
    <t>T120C_V1_4</t>
  </si>
  <si>
    <t>T140C_V1_0</t>
  </si>
  <si>
    <t>T140C_V1_2</t>
  </si>
  <si>
    <t>T140C_V1_4</t>
  </si>
  <si>
    <t>Time (hours)</t>
  </si>
  <si>
    <t>T80C_V12V</t>
  </si>
  <si>
    <t>T80C_V14V</t>
  </si>
  <si>
    <t>T80C_V16V</t>
  </si>
  <si>
    <t>T80C_V18V</t>
  </si>
  <si>
    <t>T-20C_V16V</t>
  </si>
  <si>
    <t>T25C_V16V</t>
  </si>
  <si>
    <t>T120C_V16V</t>
  </si>
  <si>
    <t>Weibit</t>
  </si>
  <si>
    <t>Weibull(100,0)</t>
  </si>
  <si>
    <t>Weibull (100,4)</t>
  </si>
  <si>
    <t>Weibull(100,2)</t>
  </si>
  <si>
    <t>Weibull(120,0)</t>
  </si>
  <si>
    <t>Weibull(120, 2)</t>
  </si>
  <si>
    <t>Weibull(120,4)</t>
  </si>
  <si>
    <t>Weibull(140,0)</t>
  </si>
  <si>
    <t>Weibull(140, 2)</t>
  </si>
  <si>
    <t>Weibull(140,4)</t>
  </si>
  <si>
    <t>ln(MTTF)</t>
  </si>
  <si>
    <t>MTTF</t>
  </si>
  <si>
    <t>MTTF [h]</t>
  </si>
  <si>
    <t>F(t)=#f/N+0.5</t>
  </si>
  <si>
    <t>b- intercept</t>
  </si>
  <si>
    <t>β = slope</t>
  </si>
  <si>
    <r>
      <rPr>
        <sz val="11"/>
        <color theme="1"/>
        <rFont val="Aptos Narrow"/>
        <family val="2"/>
      </rPr>
      <t>ϑ</t>
    </r>
    <r>
      <rPr>
        <sz val="11"/>
        <color theme="1"/>
        <rFont val="Calibri"/>
        <family val="2"/>
      </rPr>
      <t>=exp(b/β)</t>
    </r>
  </si>
  <si>
    <t>(1+1/β)</t>
  </si>
  <si>
    <t>Γ(1+1/β)</t>
  </si>
  <si>
    <t>MTTF2</t>
  </si>
  <si>
    <t>V</t>
  </si>
  <si>
    <t>1/KT</t>
  </si>
  <si>
    <t>Ln(TTF)</t>
  </si>
  <si>
    <t>k</t>
  </si>
  <si>
    <t>Temp [K]</t>
  </si>
  <si>
    <t>Voltage</t>
  </si>
  <si>
    <t>Ea</t>
  </si>
  <si>
    <t>Gamma</t>
  </si>
  <si>
    <t>ln(TTF/V')</t>
  </si>
  <si>
    <t>ln(TTF/T')</t>
  </si>
  <si>
    <t>TTF</t>
  </si>
  <si>
    <t>RDS=RDS(0)exp(at)</t>
  </si>
  <si>
    <t>t=TTF=ln(1.2)/a</t>
  </si>
  <si>
    <t>a</t>
  </si>
  <si>
    <t>Γ function</t>
  </si>
  <si>
    <t>this one I took from chart</t>
  </si>
  <si>
    <t>From excel function</t>
  </si>
  <si>
    <t>Use excel function</t>
  </si>
  <si>
    <t>T(K)</t>
  </si>
  <si>
    <t>T=80C</t>
  </si>
  <si>
    <t>V=16V</t>
  </si>
  <si>
    <t>LN(V)</t>
  </si>
  <si>
    <t>Gamma=5.0774</t>
  </si>
  <si>
    <t>A</t>
  </si>
  <si>
    <t>ln(A)</t>
  </si>
  <si>
    <t>AVG A</t>
  </si>
  <si>
    <t>T'=exp(Ea/KT)</t>
  </si>
  <si>
    <t>V'=exp(-V*Gamma)</t>
  </si>
  <si>
    <t>A=TTF/(V'*T')</t>
  </si>
  <si>
    <t>Aaverage</t>
  </si>
  <si>
    <t>#faiA1:L31lures</t>
  </si>
  <si>
    <t>TTFmeas</t>
  </si>
  <si>
    <t>Error</t>
  </si>
  <si>
    <t>Error=((mea-calc)^2</t>
  </si>
  <si>
    <t>MODELindA</t>
  </si>
  <si>
    <t>MODELavgA</t>
  </si>
  <si>
    <t>SUM</t>
  </si>
  <si>
    <t>Silicon:</t>
  </si>
  <si>
    <t>t</t>
  </si>
  <si>
    <t>T</t>
  </si>
  <si>
    <t>EA GaN</t>
  </si>
  <si>
    <t>EA Si</t>
  </si>
  <si>
    <t>Gamma Si</t>
  </si>
  <si>
    <t>gamma GaN</t>
  </si>
  <si>
    <t>A si</t>
  </si>
  <si>
    <t>A GaN</t>
  </si>
  <si>
    <t>GaN:</t>
  </si>
  <si>
    <t>R(t)sys</t>
  </si>
  <si>
    <t>V - GaN</t>
  </si>
  <si>
    <t>TTF(V,T) -GaN</t>
  </si>
  <si>
    <t>R(t) - GaN</t>
  </si>
  <si>
    <t>V - Si</t>
  </si>
  <si>
    <t>TTF(V,T)  - Si</t>
  </si>
  <si>
    <t>R(t) - Si</t>
  </si>
  <si>
    <t>System</t>
  </si>
  <si>
    <t>TFF - Sys</t>
  </si>
  <si>
    <t>solver:</t>
  </si>
  <si>
    <t>Solver Model</t>
  </si>
  <si>
    <t>Ea=0.3602V</t>
  </si>
  <si>
    <t>T | V</t>
  </si>
  <si>
    <t>0.1 | 1</t>
  </si>
  <si>
    <t>0.2 | 2</t>
  </si>
  <si>
    <t>0.3 | 3</t>
  </si>
  <si>
    <t>0.4 | 4</t>
  </si>
  <si>
    <t>0.5 | 5</t>
  </si>
  <si>
    <t>0.6 | 6</t>
  </si>
  <si>
    <t>0.7 | 7</t>
  </si>
  <si>
    <t>0.8 | 8</t>
  </si>
  <si>
    <t>0.9 | 9</t>
  </si>
  <si>
    <t>1 | 10</t>
  </si>
  <si>
    <t>1.32| 12</t>
  </si>
  <si>
    <t>1.3| 13</t>
  </si>
  <si>
    <t>1.4 | 14</t>
  </si>
  <si>
    <t>1.5 | 15</t>
  </si>
  <si>
    <t>1.6 | 16</t>
  </si>
  <si>
    <t>1.7 | 17</t>
  </si>
  <si>
    <t>1.8 | 18</t>
  </si>
  <si>
    <t>1.9 | 19</t>
  </si>
  <si>
    <t>2 | 20</t>
  </si>
  <si>
    <t>1.1 | 11</t>
  </si>
  <si>
    <t>TTF(Si)</t>
  </si>
  <si>
    <t>R(T) Si</t>
  </si>
  <si>
    <t>TTF(GaN)</t>
  </si>
  <si>
    <t>R(t)GaN</t>
  </si>
  <si>
    <t>TTFsys=minTTF</t>
  </si>
  <si>
    <t>Y</t>
  </si>
  <si>
    <t>X</t>
  </si>
  <si>
    <t>RED</t>
  </si>
  <si>
    <t>Error=((meas-calc)^2</t>
  </si>
  <si>
    <t>Which Material has the smaller TTF</t>
  </si>
  <si>
    <t>TTFcalc</t>
  </si>
  <si>
    <t>TTF calc</t>
  </si>
  <si>
    <t>R(t)=99.12%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</si>
</sst>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E+00"/>
    <numFmt numFmtId="165" formatCode="0.000000"/>
    <numFmt numFmtId="166" formatCode="0.00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Aptos Narrow"/>
      <family val="2"/>
    </font>
    <font>
      <sz val="11"/>
      <color rgb="FF1F1F1F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94E73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/>
    <xf numFmtId="0" fontId="1" fillId="0" borderId="0" xfId="0" applyFont="1"/>
    <xf numFmtId="0" fontId="0" fillId="3" borderId="0" xfId="0" applyFill="1"/>
    <xf numFmtId="0" fontId="0" fillId="3" borderId="0" xfId="0" applyFill="1" applyAlignment="1">
      <alignment horizontal="center"/>
    </xf>
    <xf numFmtId="0" fontId="2" fillId="3" borderId="0" xfId="0" applyFont="1" applyFill="1" applyAlignment="1">
      <alignment horizontal="center"/>
    </xf>
    <xf numFmtId="0" fontId="4" fillId="0" borderId="0" xfId="0" applyFont="1"/>
    <xf numFmtId="11" fontId="0" fillId="0" borderId="0" xfId="0" applyNumberFormat="1"/>
    <xf numFmtId="0" fontId="0" fillId="0" borderId="0" xfId="0" applyAlignment="1">
      <alignment horizontal="center"/>
    </xf>
    <xf numFmtId="0" fontId="0" fillId="4" borderId="0" xfId="0" applyFill="1"/>
    <xf numFmtId="2" fontId="0" fillId="0" borderId="0" xfId="0" applyNumberFormat="1"/>
    <xf numFmtId="164" fontId="0" fillId="0" borderId="0" xfId="0" applyNumberFormat="1"/>
    <xf numFmtId="0" fontId="1" fillId="4" borderId="0" xfId="0" applyFont="1" applyFill="1"/>
    <xf numFmtId="165" fontId="0" fillId="0" borderId="0" xfId="0" applyNumberFormat="1"/>
    <xf numFmtId="0" fontId="0" fillId="5" borderId="0" xfId="0" applyFill="1"/>
    <xf numFmtId="166" fontId="0" fillId="0" borderId="0" xfId="0" applyNumberFormat="1"/>
    <xf numFmtId="0" fontId="5" fillId="5" borderId="0" xfId="0" applyFont="1" applyFill="1"/>
    <xf numFmtId="0" fontId="0" fillId="4" borderId="0" xfId="0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6" borderId="0" xfId="0" applyFont="1" applyFill="1"/>
    <xf numFmtId="0" fontId="5" fillId="0" borderId="0" xfId="0" applyFont="1"/>
    <xf numFmtId="0" fontId="0" fillId="8" borderId="0" xfId="0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7" borderId="0" xfId="0" applyFont="1" applyFill="1"/>
    <xf numFmtId="0" fontId="0" fillId="8" borderId="0" xfId="0" applyFill="1"/>
    <xf numFmtId="0" fontId="0" fillId="7" borderId="0" xfId="0" applyFill="1"/>
    <xf numFmtId="0" fontId="0" fillId="7" borderId="0" xfId="0" applyFill="1" applyAlignment="1">
      <alignment horizontal="center"/>
    </xf>
  </cellXfs>
  <cellStyles count="1">
    <cellStyle name="Normal" xfId="0" builtinId="0"/>
  </cellStyles>
  <dxfs count="9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T=100,V=1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Silicon_TTF!$W$1</c:f>
              <c:strCache>
                <c:ptCount val="1"/>
                <c:pt idx="0">
                  <c:v>Weibit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3.9013779527559057E-2"/>
                  <c:y val="-7.621543832385788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Silicon_TTF!$N$2:$N$31</c:f>
              <c:numCache>
                <c:formatCode>General</c:formatCode>
                <c:ptCount val="30"/>
                <c:pt idx="0">
                  <c:v>12.283373112940325</c:v>
                </c:pt>
                <c:pt idx="1">
                  <c:v>13.306426734028921</c:v>
                </c:pt>
                <c:pt idx="2">
                  <c:v>14.01436743470102</c:v>
                </c:pt>
                <c:pt idx="3">
                  <c:v>14.76598201290822</c:v>
                </c:pt>
                <c:pt idx="4">
                  <c:v>14.833456392954599</c:v>
                </c:pt>
                <c:pt idx="5">
                  <c:v>14.929365260035116</c:v>
                </c:pt>
                <c:pt idx="6">
                  <c:v>15.283156070348966</c:v>
                </c:pt>
                <c:pt idx="7">
                  <c:v>15.310679655320289</c:v>
                </c:pt>
                <c:pt idx="8">
                  <c:v>15.369446722071139</c:v>
                </c:pt>
                <c:pt idx="9">
                  <c:v>15.411427518070886</c:v>
                </c:pt>
                <c:pt idx="10">
                  <c:v>15.431115731677467</c:v>
                </c:pt>
                <c:pt idx="11">
                  <c:v>15.644441890215846</c:v>
                </c:pt>
                <c:pt idx="12">
                  <c:v>15.766127357876131</c:v>
                </c:pt>
                <c:pt idx="13">
                  <c:v>15.785658142461156</c:v>
                </c:pt>
                <c:pt idx="14">
                  <c:v>15.811784308735815</c:v>
                </c:pt>
                <c:pt idx="15">
                  <c:v>15.859504322692954</c:v>
                </c:pt>
                <c:pt idx="16">
                  <c:v>15.911248076178314</c:v>
                </c:pt>
                <c:pt idx="17">
                  <c:v>16.079644981147009</c:v>
                </c:pt>
                <c:pt idx="18">
                  <c:v>16.163884608002331</c:v>
                </c:pt>
                <c:pt idx="19">
                  <c:v>16.180294387353712</c:v>
                </c:pt>
                <c:pt idx="20">
                  <c:v>16.373721479219448</c:v>
                </c:pt>
                <c:pt idx="21">
                  <c:v>16.437393184348824</c:v>
                </c:pt>
                <c:pt idx="22">
                  <c:v>16.437545939408277</c:v>
                </c:pt>
                <c:pt idx="23">
                  <c:v>16.640067220472066</c:v>
                </c:pt>
                <c:pt idx="24">
                  <c:v>16.713351474019014</c:v>
                </c:pt>
                <c:pt idx="25">
                  <c:v>16.722878439458839</c:v>
                </c:pt>
                <c:pt idx="26">
                  <c:v>16.77957028562065</c:v>
                </c:pt>
                <c:pt idx="27">
                  <c:v>16.832811771242117</c:v>
                </c:pt>
                <c:pt idx="28">
                  <c:v>16.920253565068094</c:v>
                </c:pt>
                <c:pt idx="29">
                  <c:v>17.103504160550195</c:v>
                </c:pt>
              </c:numCache>
            </c:numRef>
          </c:xVal>
          <c:yVal>
            <c:numRef>
              <c:f>Silicon_TTF!$W$2:$W$31</c:f>
              <c:numCache>
                <c:formatCode>General</c:formatCode>
                <c:ptCount val="30"/>
                <c:pt idx="0">
                  <c:v>-3.4011047779222592</c:v>
                </c:pt>
                <c:pt idx="1">
                  <c:v>-2.6908598602282483</c:v>
                </c:pt>
                <c:pt idx="2">
                  <c:v>-2.267790710249213</c:v>
                </c:pt>
                <c:pt idx="3">
                  <c:v>-1.9619646818064604</c:v>
                </c:pt>
                <c:pt idx="4">
                  <c:v>-1.7201000600006888</c:v>
                </c:pt>
                <c:pt idx="5">
                  <c:v>-1.5184389851803086</c:v>
                </c:pt>
                <c:pt idx="6">
                  <c:v>-1.34428422486077</c:v>
                </c:pt>
                <c:pt idx="7">
                  <c:v>-1.1900325086561372</c:v>
                </c:pt>
                <c:pt idx="8">
                  <c:v>-1.0507547064187666</c:v>
                </c:pt>
                <c:pt idx="9">
                  <c:v>-0.92305909196088587</c:v>
                </c:pt>
                <c:pt idx="10">
                  <c:v>-0.80449845381764873</c:v>
                </c:pt>
                <c:pt idx="11">
                  <c:v>-0.69323528138253521</c:v>
                </c:pt>
                <c:pt idx="12">
                  <c:v>-0.58784022150523252</c:v>
                </c:pt>
                <c:pt idx="13">
                  <c:v>-0.48716394450753059</c:v>
                </c:pt>
                <c:pt idx="14">
                  <c:v>-0.39025143561248848</c:v>
                </c:pt>
                <c:pt idx="15">
                  <c:v>-0.29628156339520606</c:v>
                </c:pt>
                <c:pt idx="16">
                  <c:v>-0.20452177024530704</c:v>
                </c:pt>
                <c:pt idx="17">
                  <c:v>-0.11429134449298467</c:v>
                </c:pt>
                <c:pt idx="18">
                  <c:v>-2.4928500959579672E-2</c:v>
                </c:pt>
                <c:pt idx="19">
                  <c:v>6.4242939754468029E-2</c:v>
                </c:pt>
                <c:pt idx="20">
                  <c:v>0.15395199009564994</c:v>
                </c:pt>
                <c:pt idx="21">
                  <c:v>0.24503068695726662</c:v>
                </c:pt>
                <c:pt idx="22">
                  <c:v>0.33848710759834533</c:v>
                </c:pt>
                <c:pt idx="23">
                  <c:v>0.43562211760927566</c:v>
                </c:pt>
                <c:pt idx="24">
                  <c:v>0.53823372152596427</c:v>
                </c:pt>
                <c:pt idx="25">
                  <c:v>0.64901204052374939</c:v>
                </c:pt>
                <c:pt idx="26">
                  <c:v>0.77240360155326682</c:v>
                </c:pt>
                <c:pt idx="27">
                  <c:v>0.91686494767638582</c:v>
                </c:pt>
                <c:pt idx="28">
                  <c:v>1.1026911506241235</c:v>
                </c:pt>
                <c:pt idx="29">
                  <c:v>1.4136356249281929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0E7-4DB5-A81A-9F494655EC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7030616"/>
        <c:axId val="927031696"/>
      </c:scatterChart>
      <c:valAx>
        <c:axId val="927030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ln(TTF)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7031696"/>
        <c:crosses val="autoZero"/>
        <c:crossBetween val="midCat"/>
      </c:valAx>
      <c:valAx>
        <c:axId val="927031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ln(-ln(1-R(t))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70306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T=100,V=1.2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Silicon_TTF!$W$1</c:f>
              <c:strCache>
                <c:ptCount val="1"/>
                <c:pt idx="0">
                  <c:v>Weibit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Silicon_TTF!$O$2:$O$31</c:f>
              <c:numCache>
                <c:formatCode>General</c:formatCode>
                <c:ptCount val="30"/>
                <c:pt idx="0">
                  <c:v>13.343102953469586</c:v>
                </c:pt>
                <c:pt idx="1">
                  <c:v>13.445204182669878</c:v>
                </c:pt>
                <c:pt idx="2">
                  <c:v>13.644547215475512</c:v>
                </c:pt>
                <c:pt idx="3">
                  <c:v>13.652701854676081</c:v>
                </c:pt>
                <c:pt idx="4">
                  <c:v>14.084786804778155</c:v>
                </c:pt>
                <c:pt idx="5">
                  <c:v>14.366553959847209</c:v>
                </c:pt>
                <c:pt idx="6">
                  <c:v>14.387597755853575</c:v>
                </c:pt>
                <c:pt idx="7">
                  <c:v>14.461707726365464</c:v>
                </c:pt>
                <c:pt idx="8">
                  <c:v>14.493634094073485</c:v>
                </c:pt>
                <c:pt idx="9">
                  <c:v>14.533162392828924</c:v>
                </c:pt>
                <c:pt idx="10">
                  <c:v>14.655017647044144</c:v>
                </c:pt>
                <c:pt idx="11">
                  <c:v>14.763025836129115</c:v>
                </c:pt>
                <c:pt idx="12">
                  <c:v>14.813032173636973</c:v>
                </c:pt>
                <c:pt idx="13">
                  <c:v>14.839091718186689</c:v>
                </c:pt>
                <c:pt idx="14">
                  <c:v>14.873007241410159</c:v>
                </c:pt>
                <c:pt idx="15">
                  <c:v>14.898890424341346</c:v>
                </c:pt>
                <c:pt idx="16">
                  <c:v>14.917852900547901</c:v>
                </c:pt>
                <c:pt idx="17">
                  <c:v>15.147802750847935</c:v>
                </c:pt>
                <c:pt idx="18">
                  <c:v>15.358654796207007</c:v>
                </c:pt>
                <c:pt idx="19">
                  <c:v>15.439605766880197</c:v>
                </c:pt>
                <c:pt idx="20">
                  <c:v>15.540152934859664</c:v>
                </c:pt>
                <c:pt idx="21">
                  <c:v>15.610009910919793</c:v>
                </c:pt>
                <c:pt idx="22">
                  <c:v>15.664309451737287</c:v>
                </c:pt>
                <c:pt idx="23">
                  <c:v>15.672993933113807</c:v>
                </c:pt>
                <c:pt idx="24">
                  <c:v>15.74448602028747</c:v>
                </c:pt>
                <c:pt idx="25">
                  <c:v>15.766873394620745</c:v>
                </c:pt>
                <c:pt idx="26">
                  <c:v>15.799376835544789</c:v>
                </c:pt>
                <c:pt idx="27">
                  <c:v>15.867956425608421</c:v>
                </c:pt>
                <c:pt idx="28">
                  <c:v>15.892759728905384</c:v>
                </c:pt>
                <c:pt idx="29">
                  <c:v>16.149706013226215</c:v>
                </c:pt>
              </c:numCache>
            </c:numRef>
          </c:xVal>
          <c:yVal>
            <c:numRef>
              <c:f>Silicon_TTF!$W$2:$W$31</c:f>
              <c:numCache>
                <c:formatCode>General</c:formatCode>
                <c:ptCount val="30"/>
                <c:pt idx="0">
                  <c:v>-3.4011047779222592</c:v>
                </c:pt>
                <c:pt idx="1">
                  <c:v>-2.6908598602282483</c:v>
                </c:pt>
                <c:pt idx="2">
                  <c:v>-2.267790710249213</c:v>
                </c:pt>
                <c:pt idx="3">
                  <c:v>-1.9619646818064604</c:v>
                </c:pt>
                <c:pt idx="4">
                  <c:v>-1.7201000600006888</c:v>
                </c:pt>
                <c:pt idx="5">
                  <c:v>-1.5184389851803086</c:v>
                </c:pt>
                <c:pt idx="6">
                  <c:v>-1.34428422486077</c:v>
                </c:pt>
                <c:pt idx="7">
                  <c:v>-1.1900325086561372</c:v>
                </c:pt>
                <c:pt idx="8">
                  <c:v>-1.0507547064187666</c:v>
                </c:pt>
                <c:pt idx="9">
                  <c:v>-0.92305909196088587</c:v>
                </c:pt>
                <c:pt idx="10">
                  <c:v>-0.80449845381764873</c:v>
                </c:pt>
                <c:pt idx="11">
                  <c:v>-0.69323528138253521</c:v>
                </c:pt>
                <c:pt idx="12">
                  <c:v>-0.58784022150523252</c:v>
                </c:pt>
                <c:pt idx="13">
                  <c:v>-0.48716394450753059</c:v>
                </c:pt>
                <c:pt idx="14">
                  <c:v>-0.39025143561248848</c:v>
                </c:pt>
                <c:pt idx="15">
                  <c:v>-0.29628156339520606</c:v>
                </c:pt>
                <c:pt idx="16">
                  <c:v>-0.20452177024530704</c:v>
                </c:pt>
                <c:pt idx="17">
                  <c:v>-0.11429134449298467</c:v>
                </c:pt>
                <c:pt idx="18">
                  <c:v>-2.4928500959579672E-2</c:v>
                </c:pt>
                <c:pt idx="19">
                  <c:v>6.4242939754468029E-2</c:v>
                </c:pt>
                <c:pt idx="20">
                  <c:v>0.15395199009564994</c:v>
                </c:pt>
                <c:pt idx="21">
                  <c:v>0.24503068695726662</c:v>
                </c:pt>
                <c:pt idx="22">
                  <c:v>0.33848710759834533</c:v>
                </c:pt>
                <c:pt idx="23">
                  <c:v>0.43562211760927566</c:v>
                </c:pt>
                <c:pt idx="24">
                  <c:v>0.53823372152596427</c:v>
                </c:pt>
                <c:pt idx="25">
                  <c:v>0.64901204052374939</c:v>
                </c:pt>
                <c:pt idx="26">
                  <c:v>0.77240360155326682</c:v>
                </c:pt>
                <c:pt idx="27">
                  <c:v>0.91686494767638582</c:v>
                </c:pt>
                <c:pt idx="28">
                  <c:v>1.1026911506241235</c:v>
                </c:pt>
                <c:pt idx="29">
                  <c:v>1.4136356249281929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CA1-48EC-BE34-472505F860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5536528"/>
        <c:axId val="845531848"/>
      </c:scatterChart>
      <c:valAx>
        <c:axId val="8455365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ln(TTF)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5531848"/>
        <c:crosses val="autoZero"/>
        <c:crossBetween val="midCat"/>
      </c:valAx>
      <c:valAx>
        <c:axId val="845531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ln(-ln(1-R(t))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55365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T=100,V=1.4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Silicon_TTF!$P$2:$P$31</c:f>
              <c:numCache>
                <c:formatCode>General</c:formatCode>
                <c:ptCount val="30"/>
                <c:pt idx="0">
                  <c:v>11.673247473162307</c:v>
                </c:pt>
                <c:pt idx="1">
                  <c:v>12.144236316220979</c:v>
                </c:pt>
                <c:pt idx="2">
                  <c:v>12.596893382387147</c:v>
                </c:pt>
                <c:pt idx="3">
                  <c:v>12.602134579644698</c:v>
                </c:pt>
                <c:pt idx="4">
                  <c:v>12.83424974056128</c:v>
                </c:pt>
                <c:pt idx="5">
                  <c:v>12.883097827592129</c:v>
                </c:pt>
                <c:pt idx="6">
                  <c:v>12.91487760274712</c:v>
                </c:pt>
                <c:pt idx="7">
                  <c:v>13.045898350734303</c:v>
                </c:pt>
                <c:pt idx="8">
                  <c:v>13.095848488191873</c:v>
                </c:pt>
                <c:pt idx="9">
                  <c:v>13.240547429325668</c:v>
                </c:pt>
                <c:pt idx="10">
                  <c:v>13.25212731680125</c:v>
                </c:pt>
                <c:pt idx="11">
                  <c:v>13.328089563676127</c:v>
                </c:pt>
                <c:pt idx="12">
                  <c:v>13.485395367669122</c:v>
                </c:pt>
                <c:pt idx="13">
                  <c:v>13.578135079624072</c:v>
                </c:pt>
                <c:pt idx="14">
                  <c:v>13.617627548111107</c:v>
                </c:pt>
                <c:pt idx="15">
                  <c:v>13.632867346536099</c:v>
                </c:pt>
                <c:pt idx="16">
                  <c:v>13.757550017218675</c:v>
                </c:pt>
                <c:pt idx="17">
                  <c:v>13.826878069715454</c:v>
                </c:pt>
                <c:pt idx="18">
                  <c:v>14.156984058301516</c:v>
                </c:pt>
                <c:pt idx="19">
                  <c:v>14.181534513208018</c:v>
                </c:pt>
                <c:pt idx="20">
                  <c:v>14.185465632613704</c:v>
                </c:pt>
                <c:pt idx="21">
                  <c:v>14.186678901842569</c:v>
                </c:pt>
                <c:pt idx="22">
                  <c:v>14.191957545192103</c:v>
                </c:pt>
                <c:pt idx="23">
                  <c:v>14.278687826932993</c:v>
                </c:pt>
                <c:pt idx="24">
                  <c:v>14.401406513745494</c:v>
                </c:pt>
                <c:pt idx="25">
                  <c:v>14.509318461106862</c:v>
                </c:pt>
                <c:pt idx="26">
                  <c:v>14.56183274342985</c:v>
                </c:pt>
                <c:pt idx="27">
                  <c:v>14.978143350935001</c:v>
                </c:pt>
                <c:pt idx="28">
                  <c:v>15.079764322388479</c:v>
                </c:pt>
                <c:pt idx="29">
                  <c:v>15.158801321362045</c:v>
                </c:pt>
              </c:numCache>
            </c:numRef>
          </c:xVal>
          <c:yVal>
            <c:numRef>
              <c:f>Silicon_TTF!$W$2:$W$31</c:f>
              <c:numCache>
                <c:formatCode>General</c:formatCode>
                <c:ptCount val="30"/>
                <c:pt idx="0">
                  <c:v>-3.4011047779222592</c:v>
                </c:pt>
                <c:pt idx="1">
                  <c:v>-2.6908598602282483</c:v>
                </c:pt>
                <c:pt idx="2">
                  <c:v>-2.267790710249213</c:v>
                </c:pt>
                <c:pt idx="3">
                  <c:v>-1.9619646818064604</c:v>
                </c:pt>
                <c:pt idx="4">
                  <c:v>-1.7201000600006888</c:v>
                </c:pt>
                <c:pt idx="5">
                  <c:v>-1.5184389851803086</c:v>
                </c:pt>
                <c:pt idx="6">
                  <c:v>-1.34428422486077</c:v>
                </c:pt>
                <c:pt idx="7">
                  <c:v>-1.1900325086561372</c:v>
                </c:pt>
                <c:pt idx="8">
                  <c:v>-1.0507547064187666</c:v>
                </c:pt>
                <c:pt idx="9">
                  <c:v>-0.92305909196088587</c:v>
                </c:pt>
                <c:pt idx="10">
                  <c:v>-0.80449845381764873</c:v>
                </c:pt>
                <c:pt idx="11">
                  <c:v>-0.69323528138253521</c:v>
                </c:pt>
                <c:pt idx="12">
                  <c:v>-0.58784022150523252</c:v>
                </c:pt>
                <c:pt idx="13">
                  <c:v>-0.48716394450753059</c:v>
                </c:pt>
                <c:pt idx="14">
                  <c:v>-0.39025143561248848</c:v>
                </c:pt>
                <c:pt idx="15">
                  <c:v>-0.29628156339520606</c:v>
                </c:pt>
                <c:pt idx="16">
                  <c:v>-0.20452177024530704</c:v>
                </c:pt>
                <c:pt idx="17">
                  <c:v>-0.11429134449298467</c:v>
                </c:pt>
                <c:pt idx="18">
                  <c:v>-2.4928500959579672E-2</c:v>
                </c:pt>
                <c:pt idx="19">
                  <c:v>6.4242939754468029E-2</c:v>
                </c:pt>
                <c:pt idx="20">
                  <c:v>0.15395199009564994</c:v>
                </c:pt>
                <c:pt idx="21">
                  <c:v>0.24503068695726662</c:v>
                </c:pt>
                <c:pt idx="22">
                  <c:v>0.33848710759834533</c:v>
                </c:pt>
                <c:pt idx="23">
                  <c:v>0.43562211760927566</c:v>
                </c:pt>
                <c:pt idx="24">
                  <c:v>0.53823372152596427</c:v>
                </c:pt>
                <c:pt idx="25">
                  <c:v>0.64901204052374939</c:v>
                </c:pt>
                <c:pt idx="26">
                  <c:v>0.77240360155326682</c:v>
                </c:pt>
                <c:pt idx="27">
                  <c:v>0.91686494767638582</c:v>
                </c:pt>
                <c:pt idx="28">
                  <c:v>1.1026911506241235</c:v>
                </c:pt>
                <c:pt idx="29">
                  <c:v>1.4136356249281929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CF7-41C5-9F46-4403A2ACDB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1830384"/>
        <c:axId val="411833984"/>
      </c:scatterChart>
      <c:valAx>
        <c:axId val="411830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ln(TTF)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1833984"/>
        <c:crosses val="autoZero"/>
        <c:crossBetween val="midCat"/>
      </c:valAx>
      <c:valAx>
        <c:axId val="411833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ln(-ln(1-R(t))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18303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T= 120, V= 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8437123891160452E-2"/>
          <c:y val="0.14214772612249713"/>
          <c:w val="0.84374348751136907"/>
          <c:h val="0.71262829022231711"/>
        </c:manualLayout>
      </c:layout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8.6855394885000554E-3"/>
                  <c:y val="-6.845680377390361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Silicon_TTF!$Q$2:$Q$31</c:f>
              <c:numCache>
                <c:formatCode>General</c:formatCode>
                <c:ptCount val="30"/>
                <c:pt idx="0">
                  <c:v>13.085406704670572</c:v>
                </c:pt>
                <c:pt idx="1">
                  <c:v>13.930630925221164</c:v>
                </c:pt>
                <c:pt idx="2">
                  <c:v>14.071885031002115</c:v>
                </c:pt>
                <c:pt idx="3">
                  <c:v>14.081957855282477</c:v>
                </c:pt>
                <c:pt idx="4">
                  <c:v>14.084406913968092</c:v>
                </c:pt>
                <c:pt idx="5">
                  <c:v>14.118927701982042</c:v>
                </c:pt>
                <c:pt idx="6">
                  <c:v>14.18674305423</c:v>
                </c:pt>
                <c:pt idx="7">
                  <c:v>14.290511497366992</c:v>
                </c:pt>
                <c:pt idx="8">
                  <c:v>14.329309157487224</c:v>
                </c:pt>
                <c:pt idx="9">
                  <c:v>14.383366232841883</c:v>
                </c:pt>
                <c:pt idx="10">
                  <c:v>14.484286841410439</c:v>
                </c:pt>
                <c:pt idx="11">
                  <c:v>14.659705590396253</c:v>
                </c:pt>
                <c:pt idx="12">
                  <c:v>14.682266848598594</c:v>
                </c:pt>
                <c:pt idx="13">
                  <c:v>14.84062023046852</c:v>
                </c:pt>
                <c:pt idx="14">
                  <c:v>14.901044338875788</c:v>
                </c:pt>
                <c:pt idx="15">
                  <c:v>14.943610799690468</c:v>
                </c:pt>
                <c:pt idx="16">
                  <c:v>14.946804346268763</c:v>
                </c:pt>
                <c:pt idx="17">
                  <c:v>15.068837091407335</c:v>
                </c:pt>
                <c:pt idx="18">
                  <c:v>15.181653576002551</c:v>
                </c:pt>
                <c:pt idx="19">
                  <c:v>15.308515055168817</c:v>
                </c:pt>
                <c:pt idx="20">
                  <c:v>15.384290541903399</c:v>
                </c:pt>
                <c:pt idx="21">
                  <c:v>15.405593783208795</c:v>
                </c:pt>
                <c:pt idx="22">
                  <c:v>15.505015579460993</c:v>
                </c:pt>
                <c:pt idx="23">
                  <c:v>15.572350033909467</c:v>
                </c:pt>
                <c:pt idx="24">
                  <c:v>15.603147010183779</c:v>
                </c:pt>
                <c:pt idx="25">
                  <c:v>15.846194090537304</c:v>
                </c:pt>
                <c:pt idx="26">
                  <c:v>15.92992583614431</c:v>
                </c:pt>
                <c:pt idx="27">
                  <c:v>16.186465664739004</c:v>
                </c:pt>
                <c:pt idx="28">
                  <c:v>16.191095840897109</c:v>
                </c:pt>
                <c:pt idx="29">
                  <c:v>16.28889519170216</c:v>
                </c:pt>
              </c:numCache>
            </c:numRef>
          </c:xVal>
          <c:yVal>
            <c:numRef>
              <c:f>Silicon_TTF!$W$2:$W$31</c:f>
              <c:numCache>
                <c:formatCode>General</c:formatCode>
                <c:ptCount val="30"/>
                <c:pt idx="0">
                  <c:v>-3.4011047779222592</c:v>
                </c:pt>
                <c:pt idx="1">
                  <c:v>-2.6908598602282483</c:v>
                </c:pt>
                <c:pt idx="2">
                  <c:v>-2.267790710249213</c:v>
                </c:pt>
                <c:pt idx="3">
                  <c:v>-1.9619646818064604</c:v>
                </c:pt>
                <c:pt idx="4">
                  <c:v>-1.7201000600006888</c:v>
                </c:pt>
                <c:pt idx="5">
                  <c:v>-1.5184389851803086</c:v>
                </c:pt>
                <c:pt idx="6">
                  <c:v>-1.34428422486077</c:v>
                </c:pt>
                <c:pt idx="7">
                  <c:v>-1.1900325086561372</c:v>
                </c:pt>
                <c:pt idx="8">
                  <c:v>-1.0507547064187666</c:v>
                </c:pt>
                <c:pt idx="9">
                  <c:v>-0.92305909196088587</c:v>
                </c:pt>
                <c:pt idx="10">
                  <c:v>-0.80449845381764873</c:v>
                </c:pt>
                <c:pt idx="11">
                  <c:v>-0.69323528138253521</c:v>
                </c:pt>
                <c:pt idx="12">
                  <c:v>-0.58784022150523252</c:v>
                </c:pt>
                <c:pt idx="13">
                  <c:v>-0.48716394450753059</c:v>
                </c:pt>
                <c:pt idx="14">
                  <c:v>-0.39025143561248848</c:v>
                </c:pt>
                <c:pt idx="15">
                  <c:v>-0.29628156339520606</c:v>
                </c:pt>
                <c:pt idx="16">
                  <c:v>-0.20452177024530704</c:v>
                </c:pt>
                <c:pt idx="17">
                  <c:v>-0.11429134449298467</c:v>
                </c:pt>
                <c:pt idx="18">
                  <c:v>-2.4928500959579672E-2</c:v>
                </c:pt>
                <c:pt idx="19">
                  <c:v>6.4242939754468029E-2</c:v>
                </c:pt>
                <c:pt idx="20">
                  <c:v>0.15395199009564994</c:v>
                </c:pt>
                <c:pt idx="21">
                  <c:v>0.24503068695726662</c:v>
                </c:pt>
                <c:pt idx="22">
                  <c:v>0.33848710759834533</c:v>
                </c:pt>
                <c:pt idx="23">
                  <c:v>0.43562211760927566</c:v>
                </c:pt>
                <c:pt idx="24">
                  <c:v>0.53823372152596427</c:v>
                </c:pt>
                <c:pt idx="25">
                  <c:v>0.64901204052374939</c:v>
                </c:pt>
                <c:pt idx="26">
                  <c:v>0.77240360155326682</c:v>
                </c:pt>
                <c:pt idx="27">
                  <c:v>0.91686494767638582</c:v>
                </c:pt>
                <c:pt idx="28">
                  <c:v>1.1026911506241235</c:v>
                </c:pt>
                <c:pt idx="29">
                  <c:v>1.4136356249281929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4EE-4471-BD72-BB7AE82066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9697152"/>
        <c:axId val="409697512"/>
      </c:scatterChart>
      <c:valAx>
        <c:axId val="4096971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ln(TTF)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697512"/>
        <c:crosses val="autoZero"/>
        <c:crossBetween val="midCat"/>
      </c:valAx>
      <c:valAx>
        <c:axId val="409697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ln(-ln(1-R(t))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6971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T= 120, V= 1.2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Silicon_TTF!$R$2:$R$31</c:f>
              <c:numCache>
                <c:formatCode>General</c:formatCode>
                <c:ptCount val="30"/>
                <c:pt idx="0">
                  <c:v>12.20614867278068</c:v>
                </c:pt>
                <c:pt idx="1">
                  <c:v>12.591592207843483</c:v>
                </c:pt>
                <c:pt idx="2">
                  <c:v>12.597667048385249</c:v>
                </c:pt>
                <c:pt idx="3">
                  <c:v>12.702656622223394</c:v>
                </c:pt>
                <c:pt idx="4">
                  <c:v>12.823409129015264</c:v>
                </c:pt>
                <c:pt idx="5">
                  <c:v>13.067612113075302</c:v>
                </c:pt>
                <c:pt idx="6">
                  <c:v>13.088783167393359</c:v>
                </c:pt>
                <c:pt idx="7">
                  <c:v>13.374148895854946</c:v>
                </c:pt>
                <c:pt idx="8">
                  <c:v>13.627796368295261</c:v>
                </c:pt>
                <c:pt idx="9">
                  <c:v>13.636609313086508</c:v>
                </c:pt>
                <c:pt idx="10">
                  <c:v>13.80835731391454</c:v>
                </c:pt>
                <c:pt idx="11">
                  <c:v>13.840156082113769</c:v>
                </c:pt>
                <c:pt idx="12">
                  <c:v>13.841180093296341</c:v>
                </c:pt>
                <c:pt idx="13">
                  <c:v>13.852253687840008</c:v>
                </c:pt>
                <c:pt idx="14">
                  <c:v>13.863313432146279</c:v>
                </c:pt>
                <c:pt idx="15">
                  <c:v>13.872740979889324</c:v>
                </c:pt>
                <c:pt idx="16">
                  <c:v>14.15987120258535</c:v>
                </c:pt>
                <c:pt idx="17">
                  <c:v>14.162124024430293</c:v>
                </c:pt>
                <c:pt idx="18">
                  <c:v>14.163638703534907</c:v>
                </c:pt>
                <c:pt idx="19">
                  <c:v>14.178191768551491</c:v>
                </c:pt>
                <c:pt idx="20">
                  <c:v>14.359234629401749</c:v>
                </c:pt>
                <c:pt idx="21">
                  <c:v>14.369825566087744</c:v>
                </c:pt>
                <c:pt idx="22">
                  <c:v>14.393956804588944</c:v>
                </c:pt>
                <c:pt idx="23">
                  <c:v>14.447169809350765</c:v>
                </c:pt>
                <c:pt idx="24">
                  <c:v>14.505271233696137</c:v>
                </c:pt>
                <c:pt idx="25">
                  <c:v>14.615580622493097</c:v>
                </c:pt>
                <c:pt idx="26">
                  <c:v>14.711364712681192</c:v>
                </c:pt>
                <c:pt idx="27">
                  <c:v>15.065550484166565</c:v>
                </c:pt>
                <c:pt idx="28">
                  <c:v>15.153043393029893</c:v>
                </c:pt>
                <c:pt idx="29">
                  <c:v>15.2099071062737</c:v>
                </c:pt>
              </c:numCache>
            </c:numRef>
          </c:xVal>
          <c:yVal>
            <c:numRef>
              <c:f>Silicon_TTF!$W$2:$W$31</c:f>
              <c:numCache>
                <c:formatCode>General</c:formatCode>
                <c:ptCount val="30"/>
                <c:pt idx="0">
                  <c:v>-3.4011047779222592</c:v>
                </c:pt>
                <c:pt idx="1">
                  <c:v>-2.6908598602282483</c:v>
                </c:pt>
                <c:pt idx="2">
                  <c:v>-2.267790710249213</c:v>
                </c:pt>
                <c:pt idx="3">
                  <c:v>-1.9619646818064604</c:v>
                </c:pt>
                <c:pt idx="4">
                  <c:v>-1.7201000600006888</c:v>
                </c:pt>
                <c:pt idx="5">
                  <c:v>-1.5184389851803086</c:v>
                </c:pt>
                <c:pt idx="6">
                  <c:v>-1.34428422486077</c:v>
                </c:pt>
                <c:pt idx="7">
                  <c:v>-1.1900325086561372</c:v>
                </c:pt>
                <c:pt idx="8">
                  <c:v>-1.0507547064187666</c:v>
                </c:pt>
                <c:pt idx="9">
                  <c:v>-0.92305909196088587</c:v>
                </c:pt>
                <c:pt idx="10">
                  <c:v>-0.80449845381764873</c:v>
                </c:pt>
                <c:pt idx="11">
                  <c:v>-0.69323528138253521</c:v>
                </c:pt>
                <c:pt idx="12">
                  <c:v>-0.58784022150523252</c:v>
                </c:pt>
                <c:pt idx="13">
                  <c:v>-0.48716394450753059</c:v>
                </c:pt>
                <c:pt idx="14">
                  <c:v>-0.39025143561248848</c:v>
                </c:pt>
                <c:pt idx="15">
                  <c:v>-0.29628156339520606</c:v>
                </c:pt>
                <c:pt idx="16">
                  <c:v>-0.20452177024530704</c:v>
                </c:pt>
                <c:pt idx="17">
                  <c:v>-0.11429134449298467</c:v>
                </c:pt>
                <c:pt idx="18">
                  <c:v>-2.4928500959579672E-2</c:v>
                </c:pt>
                <c:pt idx="19">
                  <c:v>6.4242939754468029E-2</c:v>
                </c:pt>
                <c:pt idx="20">
                  <c:v>0.15395199009564994</c:v>
                </c:pt>
                <c:pt idx="21">
                  <c:v>0.24503068695726662</c:v>
                </c:pt>
                <c:pt idx="22">
                  <c:v>0.33848710759834533</c:v>
                </c:pt>
                <c:pt idx="23">
                  <c:v>0.43562211760927566</c:v>
                </c:pt>
                <c:pt idx="24">
                  <c:v>0.53823372152596427</c:v>
                </c:pt>
                <c:pt idx="25">
                  <c:v>0.64901204052374939</c:v>
                </c:pt>
                <c:pt idx="26">
                  <c:v>0.77240360155326682</c:v>
                </c:pt>
                <c:pt idx="27">
                  <c:v>0.91686494767638582</c:v>
                </c:pt>
                <c:pt idx="28">
                  <c:v>1.1026911506241235</c:v>
                </c:pt>
                <c:pt idx="29">
                  <c:v>1.4136356249281929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08D-4E53-A9F1-D09C8799D6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7474768"/>
        <c:axId val="597478368"/>
      </c:scatterChart>
      <c:valAx>
        <c:axId val="5974747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ln(TTF)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7478368"/>
        <c:crosses val="autoZero"/>
        <c:crossBetween val="midCat"/>
      </c:valAx>
      <c:valAx>
        <c:axId val="597478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ln(-ln(1-R(t))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74747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T= 120, V= 1.4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Silicon_TTF!$S$2:$S$31</c:f>
              <c:numCache>
                <c:formatCode>General</c:formatCode>
                <c:ptCount val="30"/>
                <c:pt idx="0">
                  <c:v>10.989613499396963</c:v>
                </c:pt>
                <c:pt idx="1">
                  <c:v>11.397407022974994</c:v>
                </c:pt>
                <c:pt idx="2">
                  <c:v>12.228301985276572</c:v>
                </c:pt>
                <c:pt idx="3">
                  <c:v>12.337196488049811</c:v>
                </c:pt>
                <c:pt idx="4">
                  <c:v>12.444714310366367</c:v>
                </c:pt>
                <c:pt idx="5">
                  <c:v>12.531508732927069</c:v>
                </c:pt>
                <c:pt idx="6">
                  <c:v>12.651194000706562</c:v>
                </c:pt>
                <c:pt idx="7">
                  <c:v>12.743944958906276</c:v>
                </c:pt>
                <c:pt idx="8">
                  <c:v>12.887690135706421</c:v>
                </c:pt>
                <c:pt idx="9">
                  <c:v>12.91899497547594</c:v>
                </c:pt>
                <c:pt idx="10">
                  <c:v>12.954925423929311</c:v>
                </c:pt>
                <c:pt idx="11">
                  <c:v>13.040259936507404</c:v>
                </c:pt>
                <c:pt idx="12">
                  <c:v>13.101224746992829</c:v>
                </c:pt>
                <c:pt idx="13">
                  <c:v>13.118722186288101</c:v>
                </c:pt>
                <c:pt idx="14">
                  <c:v>13.349545878144291</c:v>
                </c:pt>
                <c:pt idx="15">
                  <c:v>13.367100358515756</c:v>
                </c:pt>
                <c:pt idx="16">
                  <c:v>13.383012368455651</c:v>
                </c:pt>
                <c:pt idx="17">
                  <c:v>13.399291060016859</c:v>
                </c:pt>
                <c:pt idx="18">
                  <c:v>13.470096657524437</c:v>
                </c:pt>
                <c:pt idx="19">
                  <c:v>13.565400598408107</c:v>
                </c:pt>
                <c:pt idx="20">
                  <c:v>13.583646710832022</c:v>
                </c:pt>
                <c:pt idx="21">
                  <c:v>13.587576348435348</c:v>
                </c:pt>
                <c:pt idx="22">
                  <c:v>13.603338921673968</c:v>
                </c:pt>
                <c:pt idx="23">
                  <c:v>13.686017819409455</c:v>
                </c:pt>
                <c:pt idx="24">
                  <c:v>13.743494178737055</c:v>
                </c:pt>
                <c:pt idx="25">
                  <c:v>13.852726681139032</c:v>
                </c:pt>
                <c:pt idx="26">
                  <c:v>13.887994683686481</c:v>
                </c:pt>
                <c:pt idx="27">
                  <c:v>13.895658365229464</c:v>
                </c:pt>
                <c:pt idx="28">
                  <c:v>14.260026579117664</c:v>
                </c:pt>
                <c:pt idx="29">
                  <c:v>14.784886651150563</c:v>
                </c:pt>
              </c:numCache>
            </c:numRef>
          </c:xVal>
          <c:yVal>
            <c:numRef>
              <c:f>Silicon_TTF!$W$2:$W$31</c:f>
              <c:numCache>
                <c:formatCode>General</c:formatCode>
                <c:ptCount val="30"/>
                <c:pt idx="0">
                  <c:v>-3.4011047779222592</c:v>
                </c:pt>
                <c:pt idx="1">
                  <c:v>-2.6908598602282483</c:v>
                </c:pt>
                <c:pt idx="2">
                  <c:v>-2.267790710249213</c:v>
                </c:pt>
                <c:pt idx="3">
                  <c:v>-1.9619646818064604</c:v>
                </c:pt>
                <c:pt idx="4">
                  <c:v>-1.7201000600006888</c:v>
                </c:pt>
                <c:pt idx="5">
                  <c:v>-1.5184389851803086</c:v>
                </c:pt>
                <c:pt idx="6">
                  <c:v>-1.34428422486077</c:v>
                </c:pt>
                <c:pt idx="7">
                  <c:v>-1.1900325086561372</c:v>
                </c:pt>
                <c:pt idx="8">
                  <c:v>-1.0507547064187666</c:v>
                </c:pt>
                <c:pt idx="9">
                  <c:v>-0.92305909196088587</c:v>
                </c:pt>
                <c:pt idx="10">
                  <c:v>-0.80449845381764873</c:v>
                </c:pt>
                <c:pt idx="11">
                  <c:v>-0.69323528138253521</c:v>
                </c:pt>
                <c:pt idx="12">
                  <c:v>-0.58784022150523252</c:v>
                </c:pt>
                <c:pt idx="13">
                  <c:v>-0.48716394450753059</c:v>
                </c:pt>
                <c:pt idx="14">
                  <c:v>-0.39025143561248848</c:v>
                </c:pt>
                <c:pt idx="15">
                  <c:v>-0.29628156339520606</c:v>
                </c:pt>
                <c:pt idx="16">
                  <c:v>-0.20452177024530704</c:v>
                </c:pt>
                <c:pt idx="17">
                  <c:v>-0.11429134449298467</c:v>
                </c:pt>
                <c:pt idx="18">
                  <c:v>-2.4928500959579672E-2</c:v>
                </c:pt>
                <c:pt idx="19">
                  <c:v>6.4242939754468029E-2</c:v>
                </c:pt>
                <c:pt idx="20">
                  <c:v>0.15395199009564994</c:v>
                </c:pt>
                <c:pt idx="21">
                  <c:v>0.24503068695726662</c:v>
                </c:pt>
                <c:pt idx="22">
                  <c:v>0.33848710759834533</c:v>
                </c:pt>
                <c:pt idx="23">
                  <c:v>0.43562211760927566</c:v>
                </c:pt>
                <c:pt idx="24">
                  <c:v>0.53823372152596427</c:v>
                </c:pt>
                <c:pt idx="25">
                  <c:v>0.64901204052374939</c:v>
                </c:pt>
                <c:pt idx="26">
                  <c:v>0.77240360155326682</c:v>
                </c:pt>
                <c:pt idx="27">
                  <c:v>0.91686494767638582</c:v>
                </c:pt>
                <c:pt idx="28">
                  <c:v>1.1026911506241235</c:v>
                </c:pt>
                <c:pt idx="29">
                  <c:v>1.4136356249281929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F7B-490A-92AB-5AA536CDFE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7479808"/>
        <c:axId val="597480888"/>
      </c:scatterChart>
      <c:valAx>
        <c:axId val="5974798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ln(TTF)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7480888"/>
        <c:crosses val="autoZero"/>
        <c:crossBetween val="midCat"/>
      </c:valAx>
      <c:valAx>
        <c:axId val="597480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ln(-ln(1-R(t))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7479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T=140, V= 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Silicon_TTF!$T$2:$T$31</c:f>
              <c:numCache>
                <c:formatCode>General</c:formatCode>
                <c:ptCount val="30"/>
                <c:pt idx="0">
                  <c:v>13.104586286383592</c:v>
                </c:pt>
                <c:pt idx="1">
                  <c:v>13.328560495144147</c:v>
                </c:pt>
                <c:pt idx="2">
                  <c:v>13.439902931948611</c:v>
                </c:pt>
                <c:pt idx="3">
                  <c:v>13.552400707189459</c:v>
                </c:pt>
                <c:pt idx="4">
                  <c:v>13.634761129078944</c:v>
                </c:pt>
                <c:pt idx="5">
                  <c:v>13.647537550497436</c:v>
                </c:pt>
                <c:pt idx="6">
                  <c:v>13.801435116542706</c:v>
                </c:pt>
                <c:pt idx="7">
                  <c:v>13.850565990709363</c:v>
                </c:pt>
                <c:pt idx="8">
                  <c:v>13.931170468995102</c:v>
                </c:pt>
                <c:pt idx="9">
                  <c:v>14.010736063764279</c:v>
                </c:pt>
                <c:pt idx="10">
                  <c:v>14.087322241098819</c:v>
                </c:pt>
                <c:pt idx="11">
                  <c:v>14.228904222146909</c:v>
                </c:pt>
                <c:pt idx="12">
                  <c:v>14.324787664826708</c:v>
                </c:pt>
                <c:pt idx="13">
                  <c:v>14.344088678434003</c:v>
                </c:pt>
                <c:pt idx="14">
                  <c:v>14.408942806847577</c:v>
                </c:pt>
                <c:pt idx="15">
                  <c:v>14.477337766454852</c:v>
                </c:pt>
                <c:pt idx="16">
                  <c:v>14.496107268331361</c:v>
                </c:pt>
                <c:pt idx="17">
                  <c:v>14.577453568315544</c:v>
                </c:pt>
                <c:pt idx="18">
                  <c:v>14.615951559690364</c:v>
                </c:pt>
                <c:pt idx="19">
                  <c:v>14.637159681903119</c:v>
                </c:pt>
                <c:pt idx="20">
                  <c:v>14.664907894905387</c:v>
                </c:pt>
                <c:pt idx="21">
                  <c:v>14.701654310539457</c:v>
                </c:pt>
                <c:pt idx="22">
                  <c:v>14.816752070721062</c:v>
                </c:pt>
                <c:pt idx="23">
                  <c:v>14.998479319845867</c:v>
                </c:pt>
                <c:pt idx="24">
                  <c:v>15.092159558086989</c:v>
                </c:pt>
                <c:pt idx="25">
                  <c:v>15.124580567774085</c:v>
                </c:pt>
                <c:pt idx="26">
                  <c:v>15.289688521371676</c:v>
                </c:pt>
                <c:pt idx="27">
                  <c:v>15.296646842117038</c:v>
                </c:pt>
                <c:pt idx="28">
                  <c:v>15.54585374428205</c:v>
                </c:pt>
                <c:pt idx="29">
                  <c:v>15.592113915546612</c:v>
                </c:pt>
              </c:numCache>
            </c:numRef>
          </c:xVal>
          <c:yVal>
            <c:numRef>
              <c:f>Silicon_TTF!$W$2:$W$31</c:f>
              <c:numCache>
                <c:formatCode>General</c:formatCode>
                <c:ptCount val="30"/>
                <c:pt idx="0">
                  <c:v>-3.4011047779222592</c:v>
                </c:pt>
                <c:pt idx="1">
                  <c:v>-2.6908598602282483</c:v>
                </c:pt>
                <c:pt idx="2">
                  <c:v>-2.267790710249213</c:v>
                </c:pt>
                <c:pt idx="3">
                  <c:v>-1.9619646818064604</c:v>
                </c:pt>
                <c:pt idx="4">
                  <c:v>-1.7201000600006888</c:v>
                </c:pt>
                <c:pt idx="5">
                  <c:v>-1.5184389851803086</c:v>
                </c:pt>
                <c:pt idx="6">
                  <c:v>-1.34428422486077</c:v>
                </c:pt>
                <c:pt idx="7">
                  <c:v>-1.1900325086561372</c:v>
                </c:pt>
                <c:pt idx="8">
                  <c:v>-1.0507547064187666</c:v>
                </c:pt>
                <c:pt idx="9">
                  <c:v>-0.92305909196088587</c:v>
                </c:pt>
                <c:pt idx="10">
                  <c:v>-0.80449845381764873</c:v>
                </c:pt>
                <c:pt idx="11">
                  <c:v>-0.69323528138253521</c:v>
                </c:pt>
                <c:pt idx="12">
                  <c:v>-0.58784022150523252</c:v>
                </c:pt>
                <c:pt idx="13">
                  <c:v>-0.48716394450753059</c:v>
                </c:pt>
                <c:pt idx="14">
                  <c:v>-0.39025143561248848</c:v>
                </c:pt>
                <c:pt idx="15">
                  <c:v>-0.29628156339520606</c:v>
                </c:pt>
                <c:pt idx="16">
                  <c:v>-0.20452177024530704</c:v>
                </c:pt>
                <c:pt idx="17">
                  <c:v>-0.11429134449298467</c:v>
                </c:pt>
                <c:pt idx="18">
                  <c:v>-2.4928500959579672E-2</c:v>
                </c:pt>
                <c:pt idx="19">
                  <c:v>6.4242939754468029E-2</c:v>
                </c:pt>
                <c:pt idx="20">
                  <c:v>0.15395199009564994</c:v>
                </c:pt>
                <c:pt idx="21">
                  <c:v>0.24503068695726662</c:v>
                </c:pt>
                <c:pt idx="22">
                  <c:v>0.33848710759834533</c:v>
                </c:pt>
                <c:pt idx="23">
                  <c:v>0.43562211760927566</c:v>
                </c:pt>
                <c:pt idx="24">
                  <c:v>0.53823372152596427</c:v>
                </c:pt>
                <c:pt idx="25">
                  <c:v>0.64901204052374939</c:v>
                </c:pt>
                <c:pt idx="26">
                  <c:v>0.77240360155326682</c:v>
                </c:pt>
                <c:pt idx="27">
                  <c:v>0.91686494767638582</c:v>
                </c:pt>
                <c:pt idx="28">
                  <c:v>1.1026911506241235</c:v>
                </c:pt>
                <c:pt idx="29">
                  <c:v>1.4136356249281929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E14-431E-9FD1-2E35306083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272784"/>
        <c:axId val="404845736"/>
      </c:scatterChart>
      <c:valAx>
        <c:axId val="129272784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ln(TTF)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4845736"/>
        <c:crosses val="autoZero"/>
        <c:crossBetween val="midCat"/>
      </c:valAx>
      <c:valAx>
        <c:axId val="404845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ln(-ln(1-R(t))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2727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T=140, V= 1.2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Silicon_TTF!$U$2:$U$31</c:f>
              <c:numCache>
                <c:formatCode>General</c:formatCode>
                <c:ptCount val="30"/>
                <c:pt idx="0">
                  <c:v>12.005002985669345</c:v>
                </c:pt>
                <c:pt idx="1">
                  <c:v>12.326402022621586</c:v>
                </c:pt>
                <c:pt idx="2">
                  <c:v>12.470670459803554</c:v>
                </c:pt>
                <c:pt idx="3">
                  <c:v>12.629347721956247</c:v>
                </c:pt>
                <c:pt idx="4">
                  <c:v>12.706386018903951</c:v>
                </c:pt>
                <c:pt idx="5">
                  <c:v>12.767553234221927</c:v>
                </c:pt>
                <c:pt idx="6">
                  <c:v>12.775937012513952</c:v>
                </c:pt>
                <c:pt idx="7">
                  <c:v>12.786434438595984</c:v>
                </c:pt>
                <c:pt idx="8">
                  <c:v>12.825134392297596</c:v>
                </c:pt>
                <c:pt idx="9">
                  <c:v>12.990948202266699</c:v>
                </c:pt>
                <c:pt idx="10">
                  <c:v>13.03090066012431</c:v>
                </c:pt>
                <c:pt idx="11">
                  <c:v>13.081340323464133</c:v>
                </c:pt>
                <c:pt idx="12">
                  <c:v>13.204595171144948</c:v>
                </c:pt>
                <c:pt idx="13">
                  <c:v>13.212078581920386</c:v>
                </c:pt>
                <c:pt idx="14">
                  <c:v>13.281116997923304</c:v>
                </c:pt>
                <c:pt idx="15">
                  <c:v>13.410177459040787</c:v>
                </c:pt>
                <c:pt idx="16">
                  <c:v>13.495934444858628</c:v>
                </c:pt>
                <c:pt idx="17">
                  <c:v>13.527134219559299</c:v>
                </c:pt>
                <c:pt idx="18">
                  <c:v>13.562403928249875</c:v>
                </c:pt>
                <c:pt idx="19">
                  <c:v>13.570353105911103</c:v>
                </c:pt>
                <c:pt idx="20">
                  <c:v>13.646589078000895</c:v>
                </c:pt>
                <c:pt idx="21">
                  <c:v>13.68290429148303</c:v>
                </c:pt>
                <c:pt idx="22">
                  <c:v>13.684387643065877</c:v>
                </c:pt>
                <c:pt idx="23">
                  <c:v>13.710817182858202</c:v>
                </c:pt>
                <c:pt idx="24">
                  <c:v>13.856251650758294</c:v>
                </c:pt>
                <c:pt idx="25">
                  <c:v>13.907329197846646</c:v>
                </c:pt>
                <c:pt idx="26">
                  <c:v>14.112800252206853</c:v>
                </c:pt>
                <c:pt idx="27">
                  <c:v>14.129852574080651</c:v>
                </c:pt>
                <c:pt idx="28">
                  <c:v>14.156520491421894</c:v>
                </c:pt>
                <c:pt idx="29">
                  <c:v>14.324045689247898</c:v>
                </c:pt>
              </c:numCache>
            </c:numRef>
          </c:xVal>
          <c:yVal>
            <c:numRef>
              <c:f>Silicon_TTF!$W$2:$W$31</c:f>
              <c:numCache>
                <c:formatCode>General</c:formatCode>
                <c:ptCount val="30"/>
                <c:pt idx="0">
                  <c:v>-3.4011047779222592</c:v>
                </c:pt>
                <c:pt idx="1">
                  <c:v>-2.6908598602282483</c:v>
                </c:pt>
                <c:pt idx="2">
                  <c:v>-2.267790710249213</c:v>
                </c:pt>
                <c:pt idx="3">
                  <c:v>-1.9619646818064604</c:v>
                </c:pt>
                <c:pt idx="4">
                  <c:v>-1.7201000600006888</c:v>
                </c:pt>
                <c:pt idx="5">
                  <c:v>-1.5184389851803086</c:v>
                </c:pt>
                <c:pt idx="6">
                  <c:v>-1.34428422486077</c:v>
                </c:pt>
                <c:pt idx="7">
                  <c:v>-1.1900325086561372</c:v>
                </c:pt>
                <c:pt idx="8">
                  <c:v>-1.0507547064187666</c:v>
                </c:pt>
                <c:pt idx="9">
                  <c:v>-0.92305909196088587</c:v>
                </c:pt>
                <c:pt idx="10">
                  <c:v>-0.80449845381764873</c:v>
                </c:pt>
                <c:pt idx="11">
                  <c:v>-0.69323528138253521</c:v>
                </c:pt>
                <c:pt idx="12">
                  <c:v>-0.58784022150523252</c:v>
                </c:pt>
                <c:pt idx="13">
                  <c:v>-0.48716394450753059</c:v>
                </c:pt>
                <c:pt idx="14">
                  <c:v>-0.39025143561248848</c:v>
                </c:pt>
                <c:pt idx="15">
                  <c:v>-0.29628156339520606</c:v>
                </c:pt>
                <c:pt idx="16">
                  <c:v>-0.20452177024530704</c:v>
                </c:pt>
                <c:pt idx="17">
                  <c:v>-0.11429134449298467</c:v>
                </c:pt>
                <c:pt idx="18">
                  <c:v>-2.4928500959579672E-2</c:v>
                </c:pt>
                <c:pt idx="19">
                  <c:v>6.4242939754468029E-2</c:v>
                </c:pt>
                <c:pt idx="20">
                  <c:v>0.15395199009564994</c:v>
                </c:pt>
                <c:pt idx="21">
                  <c:v>0.24503068695726662</c:v>
                </c:pt>
                <c:pt idx="22">
                  <c:v>0.33848710759834533</c:v>
                </c:pt>
                <c:pt idx="23">
                  <c:v>0.43562211760927566</c:v>
                </c:pt>
                <c:pt idx="24">
                  <c:v>0.53823372152596427</c:v>
                </c:pt>
                <c:pt idx="25">
                  <c:v>0.64901204052374939</c:v>
                </c:pt>
                <c:pt idx="26">
                  <c:v>0.77240360155326682</c:v>
                </c:pt>
                <c:pt idx="27">
                  <c:v>0.91686494767638582</c:v>
                </c:pt>
                <c:pt idx="28">
                  <c:v>1.1026911506241235</c:v>
                </c:pt>
                <c:pt idx="29">
                  <c:v>1.4136356249281929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4F4-4860-B9CC-A95072F5F7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4083280"/>
        <c:axId val="604084000"/>
      </c:scatterChart>
      <c:valAx>
        <c:axId val="604083280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4084000"/>
        <c:crosses val="autoZero"/>
        <c:crossBetween val="midCat"/>
      </c:valAx>
      <c:valAx>
        <c:axId val="604084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ln(-ln(1-R(t))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40832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T=140, V= 1.4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Silicon_TTF!$V$2:$V$31</c:f>
              <c:numCache>
                <c:formatCode>General</c:formatCode>
                <c:ptCount val="30"/>
                <c:pt idx="0">
                  <c:v>10.883178319391098</c:v>
                </c:pt>
                <c:pt idx="1">
                  <c:v>11.077207381291494</c:v>
                </c:pt>
                <c:pt idx="2">
                  <c:v>11.5210993562534</c:v>
                </c:pt>
                <c:pt idx="3">
                  <c:v>11.57174283320424</c:v>
                </c:pt>
                <c:pt idx="4">
                  <c:v>11.577236211557356</c:v>
                </c:pt>
                <c:pt idx="5">
                  <c:v>11.820001034909899</c:v>
                </c:pt>
                <c:pt idx="6">
                  <c:v>11.848429876029609</c:v>
                </c:pt>
                <c:pt idx="7">
                  <c:v>11.875075902284324</c:v>
                </c:pt>
                <c:pt idx="8">
                  <c:v>11.893122977738754</c:v>
                </c:pt>
                <c:pt idx="9">
                  <c:v>11.973821217833677</c:v>
                </c:pt>
                <c:pt idx="10">
                  <c:v>12.129732537264168</c:v>
                </c:pt>
                <c:pt idx="11">
                  <c:v>12.316391074819977</c:v>
                </c:pt>
                <c:pt idx="12">
                  <c:v>12.375526456674573</c:v>
                </c:pt>
                <c:pt idx="13">
                  <c:v>12.444383849125828</c:v>
                </c:pt>
                <c:pt idx="14">
                  <c:v>12.466337568277737</c:v>
                </c:pt>
                <c:pt idx="15">
                  <c:v>12.553178661443408</c:v>
                </c:pt>
                <c:pt idx="16">
                  <c:v>12.591070318167747</c:v>
                </c:pt>
                <c:pt idx="17">
                  <c:v>12.664383977288372</c:v>
                </c:pt>
                <c:pt idx="18">
                  <c:v>12.705605090511822</c:v>
                </c:pt>
                <c:pt idx="19">
                  <c:v>12.714624542468821</c:v>
                </c:pt>
                <c:pt idx="20">
                  <c:v>12.723699141607725</c:v>
                </c:pt>
                <c:pt idx="21">
                  <c:v>12.770888161765377</c:v>
                </c:pt>
                <c:pt idx="22">
                  <c:v>12.823358115869953</c:v>
                </c:pt>
                <c:pt idx="23">
                  <c:v>12.942823583484184</c:v>
                </c:pt>
                <c:pt idx="24">
                  <c:v>12.977044262404279</c:v>
                </c:pt>
                <c:pt idx="25">
                  <c:v>12.977945300122482</c:v>
                </c:pt>
                <c:pt idx="26">
                  <c:v>13.040948669323789</c:v>
                </c:pt>
                <c:pt idx="27">
                  <c:v>13.102697717635703</c:v>
                </c:pt>
                <c:pt idx="28">
                  <c:v>13.131088962574713</c:v>
                </c:pt>
                <c:pt idx="29">
                  <c:v>13.259329762615625</c:v>
                </c:pt>
              </c:numCache>
            </c:numRef>
          </c:xVal>
          <c:yVal>
            <c:numRef>
              <c:f>Silicon_TTF!$W$2:$W$31</c:f>
              <c:numCache>
                <c:formatCode>General</c:formatCode>
                <c:ptCount val="30"/>
                <c:pt idx="0">
                  <c:v>-3.4011047779222592</c:v>
                </c:pt>
                <c:pt idx="1">
                  <c:v>-2.6908598602282483</c:v>
                </c:pt>
                <c:pt idx="2">
                  <c:v>-2.267790710249213</c:v>
                </c:pt>
                <c:pt idx="3">
                  <c:v>-1.9619646818064604</c:v>
                </c:pt>
                <c:pt idx="4">
                  <c:v>-1.7201000600006888</c:v>
                </c:pt>
                <c:pt idx="5">
                  <c:v>-1.5184389851803086</c:v>
                </c:pt>
                <c:pt idx="6">
                  <c:v>-1.34428422486077</c:v>
                </c:pt>
                <c:pt idx="7">
                  <c:v>-1.1900325086561372</c:v>
                </c:pt>
                <c:pt idx="8">
                  <c:v>-1.0507547064187666</c:v>
                </c:pt>
                <c:pt idx="9">
                  <c:v>-0.92305909196088587</c:v>
                </c:pt>
                <c:pt idx="10">
                  <c:v>-0.80449845381764873</c:v>
                </c:pt>
                <c:pt idx="11">
                  <c:v>-0.69323528138253521</c:v>
                </c:pt>
                <c:pt idx="12">
                  <c:v>-0.58784022150523252</c:v>
                </c:pt>
                <c:pt idx="13">
                  <c:v>-0.48716394450753059</c:v>
                </c:pt>
                <c:pt idx="14">
                  <c:v>-0.39025143561248848</c:v>
                </c:pt>
                <c:pt idx="15">
                  <c:v>-0.29628156339520606</c:v>
                </c:pt>
                <c:pt idx="16">
                  <c:v>-0.20452177024530704</c:v>
                </c:pt>
                <c:pt idx="17">
                  <c:v>-0.11429134449298467</c:v>
                </c:pt>
                <c:pt idx="18">
                  <c:v>-2.4928500959579672E-2</c:v>
                </c:pt>
                <c:pt idx="19">
                  <c:v>6.4242939754468029E-2</c:v>
                </c:pt>
                <c:pt idx="20">
                  <c:v>0.15395199009564994</c:v>
                </c:pt>
                <c:pt idx="21">
                  <c:v>0.24503068695726662</c:v>
                </c:pt>
                <c:pt idx="22">
                  <c:v>0.33848710759834533</c:v>
                </c:pt>
                <c:pt idx="23">
                  <c:v>0.43562211760927566</c:v>
                </c:pt>
                <c:pt idx="24">
                  <c:v>0.53823372152596427</c:v>
                </c:pt>
                <c:pt idx="25">
                  <c:v>0.64901204052374939</c:v>
                </c:pt>
                <c:pt idx="26">
                  <c:v>0.77240360155326682</c:v>
                </c:pt>
                <c:pt idx="27">
                  <c:v>0.91686494767638582</c:v>
                </c:pt>
                <c:pt idx="28">
                  <c:v>1.1026911506241235</c:v>
                </c:pt>
                <c:pt idx="29">
                  <c:v>1.4136356249281929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266-4B2C-8A50-9151071A74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4090120"/>
        <c:axId val="604076800"/>
      </c:scatterChart>
      <c:valAx>
        <c:axId val="6040901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ln(TTF)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4076800"/>
        <c:crosses val="autoZero"/>
        <c:crossBetween val="midCat"/>
      </c:valAx>
      <c:valAx>
        <c:axId val="604076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ln(-ln(1-R(t))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40901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Find</a:t>
            </a:r>
            <a:r>
              <a:rPr lang="en-US" baseline="0"/>
              <a:t> Ea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1291054243219598"/>
                  <c:y val="-3.4716340540707916E-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Silicon_TTF!$C$55:$K$55</c:f>
              <c:numCache>
                <c:formatCode>0.0000</c:formatCode>
                <c:ptCount val="9"/>
                <c:pt idx="0">
                  <c:v>31.112511865534216</c:v>
                </c:pt>
                <c:pt idx="1">
                  <c:v>31.112511865534216</c:v>
                </c:pt>
                <c:pt idx="2">
                  <c:v>31.112511865534216</c:v>
                </c:pt>
                <c:pt idx="3">
                  <c:v>29.529177928356905</c:v>
                </c:pt>
                <c:pt idx="4">
                  <c:v>29.529177928356905</c:v>
                </c:pt>
                <c:pt idx="5">
                  <c:v>29.529177928356905</c:v>
                </c:pt>
                <c:pt idx="6">
                  <c:v>28.09919352504664</c:v>
                </c:pt>
                <c:pt idx="7">
                  <c:v>28.09919352504664</c:v>
                </c:pt>
                <c:pt idx="8">
                  <c:v>28.09919352504664</c:v>
                </c:pt>
              </c:numCache>
            </c:numRef>
          </c:xVal>
          <c:yVal>
            <c:numRef>
              <c:f>Silicon_TTF!$C$60:$K$60</c:f>
              <c:numCache>
                <c:formatCode>General</c:formatCode>
                <c:ptCount val="9"/>
                <c:pt idx="0">
                  <c:v>21.174392221575747</c:v>
                </c:pt>
                <c:pt idx="1">
                  <c:v>21.205335536977749</c:v>
                </c:pt>
                <c:pt idx="2">
                  <c:v>20.972748487229712</c:v>
                </c:pt>
                <c:pt idx="3">
                  <c:v>20.194331111660311</c:v>
                </c:pt>
                <c:pt idx="4">
                  <c:v>20.15571745262768</c:v>
                </c:pt>
                <c:pt idx="5">
                  <c:v>20.440470016718439</c:v>
                </c:pt>
                <c:pt idx="6">
                  <c:v>19.593381406457237</c:v>
                </c:pt>
                <c:pt idx="7">
                  <c:v>19.462836323779985</c:v>
                </c:pt>
                <c:pt idx="8">
                  <c:v>19.548841666639056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668-47FB-9DD1-A8D6DB57FB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8660112"/>
        <c:axId val="608660472"/>
      </c:scatterChart>
      <c:valAx>
        <c:axId val="608660112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1/KT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8660472"/>
        <c:crosses val="autoZero"/>
        <c:crossBetween val="midCat"/>
      </c:valAx>
      <c:valAx>
        <c:axId val="608660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ln(TTF/V')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86601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Find Gamma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5775174604632145"/>
                  <c:y val="-3.025062326819175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Silicon_TTF!$C$52:$K$52</c:f>
              <c:numCache>
                <c:formatCode>General</c:formatCode>
                <c:ptCount val="9"/>
                <c:pt idx="0">
                  <c:v>1</c:v>
                </c:pt>
                <c:pt idx="1">
                  <c:v>1.2</c:v>
                </c:pt>
                <c:pt idx="2">
                  <c:v>1.4</c:v>
                </c:pt>
                <c:pt idx="3">
                  <c:v>1</c:v>
                </c:pt>
                <c:pt idx="4">
                  <c:v>1.2</c:v>
                </c:pt>
                <c:pt idx="5">
                  <c:v>1.4</c:v>
                </c:pt>
                <c:pt idx="6">
                  <c:v>1</c:v>
                </c:pt>
                <c:pt idx="7">
                  <c:v>1.2</c:v>
                </c:pt>
                <c:pt idx="8">
                  <c:v>1.4</c:v>
                </c:pt>
              </c:numCache>
            </c:numRef>
          </c:xVal>
          <c:yVal>
            <c:numRef>
              <c:f>Silicon_TTF!$C$61:$K$61</c:f>
              <c:numCache>
                <c:formatCode>General</c:formatCode>
                <c:ptCount val="9"/>
                <c:pt idx="0">
                  <c:v>-0.19522151257593018</c:v>
                </c:pt>
                <c:pt idx="1">
                  <c:v>-1.1688981971739287</c:v>
                </c:pt>
                <c:pt idx="2">
                  <c:v>-2.4061052469219661</c:v>
                </c:pt>
                <c:pt idx="3">
                  <c:v>-0.34339897189840579</c:v>
                </c:pt>
                <c:pt idx="4">
                  <c:v>-1.3866326309310393</c:v>
                </c:pt>
                <c:pt idx="5">
                  <c:v>-2.1065000668402765</c:v>
                </c:pt>
                <c:pt idx="6">
                  <c:v>-0.19303487160226793</c:v>
                </c:pt>
                <c:pt idx="7">
                  <c:v>-1.3281999542795193</c:v>
                </c:pt>
                <c:pt idx="8">
                  <c:v>-2.2468146114204472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DB2-4298-A2C1-21AD9D96C6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8639232"/>
        <c:axId val="608634912"/>
      </c:scatterChart>
      <c:valAx>
        <c:axId val="608639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8634912"/>
        <c:crosses val="autoZero"/>
        <c:crossBetween val="midCat"/>
      </c:valAx>
      <c:valAx>
        <c:axId val="608634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ln(TTF/T')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86392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Si T=100C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320515785611218"/>
          <c:y val="0.20326370970948959"/>
          <c:w val="0.65477844214496461"/>
          <c:h val="0.65285517295908857"/>
        </c:manualLayout>
      </c:layout>
      <c:scatterChart>
        <c:scatterStyle val="lineMarker"/>
        <c:varyColors val="0"/>
        <c:ser>
          <c:idx val="0"/>
          <c:order val="0"/>
          <c:tx>
            <c:v>V=1V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23036172246514691"/>
                  <c:y val="0.5847572601002600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Silicon_TTF!$N$2:$N$31</c:f>
              <c:numCache>
                <c:formatCode>General</c:formatCode>
                <c:ptCount val="30"/>
                <c:pt idx="0">
                  <c:v>12.283373112940325</c:v>
                </c:pt>
                <c:pt idx="1">
                  <c:v>13.306426734028921</c:v>
                </c:pt>
                <c:pt idx="2">
                  <c:v>14.01436743470102</c:v>
                </c:pt>
                <c:pt idx="3">
                  <c:v>14.76598201290822</c:v>
                </c:pt>
                <c:pt idx="4">
                  <c:v>14.833456392954599</c:v>
                </c:pt>
                <c:pt idx="5">
                  <c:v>14.929365260035116</c:v>
                </c:pt>
                <c:pt idx="6">
                  <c:v>15.283156070348966</c:v>
                </c:pt>
                <c:pt idx="7">
                  <c:v>15.310679655320289</c:v>
                </c:pt>
                <c:pt idx="8">
                  <c:v>15.369446722071139</c:v>
                </c:pt>
                <c:pt idx="9">
                  <c:v>15.411427518070886</c:v>
                </c:pt>
                <c:pt idx="10">
                  <c:v>15.431115731677467</c:v>
                </c:pt>
                <c:pt idx="11">
                  <c:v>15.644441890215846</c:v>
                </c:pt>
                <c:pt idx="12">
                  <c:v>15.766127357876131</c:v>
                </c:pt>
                <c:pt idx="13">
                  <c:v>15.785658142461156</c:v>
                </c:pt>
                <c:pt idx="14">
                  <c:v>15.811784308735815</c:v>
                </c:pt>
                <c:pt idx="15">
                  <c:v>15.859504322692954</c:v>
                </c:pt>
                <c:pt idx="16">
                  <c:v>15.911248076178314</c:v>
                </c:pt>
                <c:pt idx="17">
                  <c:v>16.079644981147009</c:v>
                </c:pt>
                <c:pt idx="18">
                  <c:v>16.163884608002331</c:v>
                </c:pt>
                <c:pt idx="19">
                  <c:v>16.180294387353712</c:v>
                </c:pt>
                <c:pt idx="20">
                  <c:v>16.373721479219448</c:v>
                </c:pt>
                <c:pt idx="21">
                  <c:v>16.437393184348824</c:v>
                </c:pt>
                <c:pt idx="22">
                  <c:v>16.437545939408277</c:v>
                </c:pt>
                <c:pt idx="23">
                  <c:v>16.640067220472066</c:v>
                </c:pt>
                <c:pt idx="24">
                  <c:v>16.713351474019014</c:v>
                </c:pt>
                <c:pt idx="25">
                  <c:v>16.722878439458839</c:v>
                </c:pt>
                <c:pt idx="26">
                  <c:v>16.77957028562065</c:v>
                </c:pt>
                <c:pt idx="27">
                  <c:v>16.832811771242117</c:v>
                </c:pt>
                <c:pt idx="28">
                  <c:v>16.920253565068094</c:v>
                </c:pt>
                <c:pt idx="29">
                  <c:v>17.103504160550195</c:v>
                </c:pt>
              </c:numCache>
            </c:numRef>
          </c:xVal>
          <c:yVal>
            <c:numRef>
              <c:f>Silicon_TTF!$W$2:$W$31</c:f>
              <c:numCache>
                <c:formatCode>General</c:formatCode>
                <c:ptCount val="30"/>
                <c:pt idx="0">
                  <c:v>-3.4011047779222592</c:v>
                </c:pt>
                <c:pt idx="1">
                  <c:v>-2.6908598602282483</c:v>
                </c:pt>
                <c:pt idx="2">
                  <c:v>-2.267790710249213</c:v>
                </c:pt>
                <c:pt idx="3">
                  <c:v>-1.9619646818064604</c:v>
                </c:pt>
                <c:pt idx="4">
                  <c:v>-1.7201000600006888</c:v>
                </c:pt>
                <c:pt idx="5">
                  <c:v>-1.5184389851803086</c:v>
                </c:pt>
                <c:pt idx="6">
                  <c:v>-1.34428422486077</c:v>
                </c:pt>
                <c:pt idx="7">
                  <c:v>-1.1900325086561372</c:v>
                </c:pt>
                <c:pt idx="8">
                  <c:v>-1.0507547064187666</c:v>
                </c:pt>
                <c:pt idx="9">
                  <c:v>-0.92305909196088587</c:v>
                </c:pt>
                <c:pt idx="10">
                  <c:v>-0.80449845381764873</c:v>
                </c:pt>
                <c:pt idx="11">
                  <c:v>-0.69323528138253521</c:v>
                </c:pt>
                <c:pt idx="12">
                  <c:v>-0.58784022150523252</c:v>
                </c:pt>
                <c:pt idx="13">
                  <c:v>-0.48716394450753059</c:v>
                </c:pt>
                <c:pt idx="14">
                  <c:v>-0.39025143561248848</c:v>
                </c:pt>
                <c:pt idx="15">
                  <c:v>-0.29628156339520606</c:v>
                </c:pt>
                <c:pt idx="16">
                  <c:v>-0.20452177024530704</c:v>
                </c:pt>
                <c:pt idx="17">
                  <c:v>-0.11429134449298467</c:v>
                </c:pt>
                <c:pt idx="18">
                  <c:v>-2.4928500959579672E-2</c:v>
                </c:pt>
                <c:pt idx="19">
                  <c:v>6.4242939754468029E-2</c:v>
                </c:pt>
                <c:pt idx="20">
                  <c:v>0.15395199009564994</c:v>
                </c:pt>
                <c:pt idx="21">
                  <c:v>0.24503068695726662</c:v>
                </c:pt>
                <c:pt idx="22">
                  <c:v>0.33848710759834533</c:v>
                </c:pt>
                <c:pt idx="23">
                  <c:v>0.43562211760927566</c:v>
                </c:pt>
                <c:pt idx="24">
                  <c:v>0.53823372152596427</c:v>
                </c:pt>
                <c:pt idx="25">
                  <c:v>0.64901204052374939</c:v>
                </c:pt>
                <c:pt idx="26">
                  <c:v>0.77240360155326682</c:v>
                </c:pt>
                <c:pt idx="27">
                  <c:v>0.91686494767638582</c:v>
                </c:pt>
                <c:pt idx="28">
                  <c:v>1.1026911506241235</c:v>
                </c:pt>
                <c:pt idx="29">
                  <c:v>1.4136356249281929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7F4-4B80-9D0A-E60B055E8560}"/>
            </c:ext>
          </c:extLst>
        </c:ser>
        <c:ser>
          <c:idx val="1"/>
          <c:order val="1"/>
          <c:tx>
            <c:v>V=1.2V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26505764907143181"/>
                  <c:y val="0.3657525091331462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Silicon_TTF!$O$2:$O$31</c:f>
              <c:numCache>
                <c:formatCode>General</c:formatCode>
                <c:ptCount val="30"/>
                <c:pt idx="0">
                  <c:v>13.343102953469586</c:v>
                </c:pt>
                <c:pt idx="1">
                  <c:v>13.445204182669878</c:v>
                </c:pt>
                <c:pt idx="2">
                  <c:v>13.644547215475512</c:v>
                </c:pt>
                <c:pt idx="3">
                  <c:v>13.652701854676081</c:v>
                </c:pt>
                <c:pt idx="4">
                  <c:v>14.084786804778155</c:v>
                </c:pt>
                <c:pt idx="5">
                  <c:v>14.366553959847209</c:v>
                </c:pt>
                <c:pt idx="6">
                  <c:v>14.387597755853575</c:v>
                </c:pt>
                <c:pt idx="7">
                  <c:v>14.461707726365464</c:v>
                </c:pt>
                <c:pt idx="8">
                  <c:v>14.493634094073485</c:v>
                </c:pt>
                <c:pt idx="9">
                  <c:v>14.533162392828924</c:v>
                </c:pt>
                <c:pt idx="10">
                  <c:v>14.655017647044144</c:v>
                </c:pt>
                <c:pt idx="11">
                  <c:v>14.763025836129115</c:v>
                </c:pt>
                <c:pt idx="12">
                  <c:v>14.813032173636973</c:v>
                </c:pt>
                <c:pt idx="13">
                  <c:v>14.839091718186689</c:v>
                </c:pt>
                <c:pt idx="14">
                  <c:v>14.873007241410159</c:v>
                </c:pt>
                <c:pt idx="15">
                  <c:v>14.898890424341346</c:v>
                </c:pt>
                <c:pt idx="16">
                  <c:v>14.917852900547901</c:v>
                </c:pt>
                <c:pt idx="17">
                  <c:v>15.147802750847935</c:v>
                </c:pt>
                <c:pt idx="18">
                  <c:v>15.358654796207007</c:v>
                </c:pt>
                <c:pt idx="19">
                  <c:v>15.439605766880197</c:v>
                </c:pt>
                <c:pt idx="20">
                  <c:v>15.540152934859664</c:v>
                </c:pt>
                <c:pt idx="21">
                  <c:v>15.610009910919793</c:v>
                </c:pt>
                <c:pt idx="22">
                  <c:v>15.664309451737287</c:v>
                </c:pt>
                <c:pt idx="23">
                  <c:v>15.672993933113807</c:v>
                </c:pt>
                <c:pt idx="24">
                  <c:v>15.74448602028747</c:v>
                </c:pt>
                <c:pt idx="25">
                  <c:v>15.766873394620745</c:v>
                </c:pt>
                <c:pt idx="26">
                  <c:v>15.799376835544789</c:v>
                </c:pt>
                <c:pt idx="27">
                  <c:v>15.867956425608421</c:v>
                </c:pt>
                <c:pt idx="28">
                  <c:v>15.892759728905384</c:v>
                </c:pt>
                <c:pt idx="29">
                  <c:v>16.149706013226215</c:v>
                </c:pt>
              </c:numCache>
            </c:numRef>
          </c:xVal>
          <c:yVal>
            <c:numRef>
              <c:f>Silicon_TTF!$W$2:$W$31</c:f>
              <c:numCache>
                <c:formatCode>General</c:formatCode>
                <c:ptCount val="30"/>
                <c:pt idx="0">
                  <c:v>-3.4011047779222592</c:v>
                </c:pt>
                <c:pt idx="1">
                  <c:v>-2.6908598602282483</c:v>
                </c:pt>
                <c:pt idx="2">
                  <c:v>-2.267790710249213</c:v>
                </c:pt>
                <c:pt idx="3">
                  <c:v>-1.9619646818064604</c:v>
                </c:pt>
                <c:pt idx="4">
                  <c:v>-1.7201000600006888</c:v>
                </c:pt>
                <c:pt idx="5">
                  <c:v>-1.5184389851803086</c:v>
                </c:pt>
                <c:pt idx="6">
                  <c:v>-1.34428422486077</c:v>
                </c:pt>
                <c:pt idx="7">
                  <c:v>-1.1900325086561372</c:v>
                </c:pt>
                <c:pt idx="8">
                  <c:v>-1.0507547064187666</c:v>
                </c:pt>
                <c:pt idx="9">
                  <c:v>-0.92305909196088587</c:v>
                </c:pt>
                <c:pt idx="10">
                  <c:v>-0.80449845381764873</c:v>
                </c:pt>
                <c:pt idx="11">
                  <c:v>-0.69323528138253521</c:v>
                </c:pt>
                <c:pt idx="12">
                  <c:v>-0.58784022150523252</c:v>
                </c:pt>
                <c:pt idx="13">
                  <c:v>-0.48716394450753059</c:v>
                </c:pt>
                <c:pt idx="14">
                  <c:v>-0.39025143561248848</c:v>
                </c:pt>
                <c:pt idx="15">
                  <c:v>-0.29628156339520606</c:v>
                </c:pt>
                <c:pt idx="16">
                  <c:v>-0.20452177024530704</c:v>
                </c:pt>
                <c:pt idx="17">
                  <c:v>-0.11429134449298467</c:v>
                </c:pt>
                <c:pt idx="18">
                  <c:v>-2.4928500959579672E-2</c:v>
                </c:pt>
                <c:pt idx="19">
                  <c:v>6.4242939754468029E-2</c:v>
                </c:pt>
                <c:pt idx="20">
                  <c:v>0.15395199009564994</c:v>
                </c:pt>
                <c:pt idx="21">
                  <c:v>0.24503068695726662</c:v>
                </c:pt>
                <c:pt idx="22">
                  <c:v>0.33848710759834533</c:v>
                </c:pt>
                <c:pt idx="23">
                  <c:v>0.43562211760927566</c:v>
                </c:pt>
                <c:pt idx="24">
                  <c:v>0.53823372152596427</c:v>
                </c:pt>
                <c:pt idx="25">
                  <c:v>0.64901204052374939</c:v>
                </c:pt>
                <c:pt idx="26">
                  <c:v>0.77240360155326682</c:v>
                </c:pt>
                <c:pt idx="27">
                  <c:v>0.91686494767638582</c:v>
                </c:pt>
                <c:pt idx="28">
                  <c:v>1.1026911506241235</c:v>
                </c:pt>
                <c:pt idx="29">
                  <c:v>1.4136356249281929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7F4-4B80-9D0A-E60B055E8560}"/>
            </c:ext>
          </c:extLst>
        </c:ser>
        <c:ser>
          <c:idx val="2"/>
          <c:order val="2"/>
          <c:tx>
            <c:v>V=1.4V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30110331116278588"/>
                  <c:y val="0.4821422085938297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Silicon_TTF!$P$2:$P$31</c:f>
              <c:numCache>
                <c:formatCode>General</c:formatCode>
                <c:ptCount val="30"/>
                <c:pt idx="0">
                  <c:v>11.673247473162307</c:v>
                </c:pt>
                <c:pt idx="1">
                  <c:v>12.144236316220979</c:v>
                </c:pt>
                <c:pt idx="2">
                  <c:v>12.596893382387147</c:v>
                </c:pt>
                <c:pt idx="3">
                  <c:v>12.602134579644698</c:v>
                </c:pt>
                <c:pt idx="4">
                  <c:v>12.83424974056128</c:v>
                </c:pt>
                <c:pt idx="5">
                  <c:v>12.883097827592129</c:v>
                </c:pt>
                <c:pt idx="6">
                  <c:v>12.91487760274712</c:v>
                </c:pt>
                <c:pt idx="7">
                  <c:v>13.045898350734303</c:v>
                </c:pt>
                <c:pt idx="8">
                  <c:v>13.095848488191873</c:v>
                </c:pt>
                <c:pt idx="9">
                  <c:v>13.240547429325668</c:v>
                </c:pt>
                <c:pt idx="10">
                  <c:v>13.25212731680125</c:v>
                </c:pt>
                <c:pt idx="11">
                  <c:v>13.328089563676127</c:v>
                </c:pt>
                <c:pt idx="12">
                  <c:v>13.485395367669122</c:v>
                </c:pt>
                <c:pt idx="13">
                  <c:v>13.578135079624072</c:v>
                </c:pt>
                <c:pt idx="14">
                  <c:v>13.617627548111107</c:v>
                </c:pt>
                <c:pt idx="15">
                  <c:v>13.632867346536099</c:v>
                </c:pt>
                <c:pt idx="16">
                  <c:v>13.757550017218675</c:v>
                </c:pt>
                <c:pt idx="17">
                  <c:v>13.826878069715454</c:v>
                </c:pt>
                <c:pt idx="18">
                  <c:v>14.156984058301516</c:v>
                </c:pt>
                <c:pt idx="19">
                  <c:v>14.181534513208018</c:v>
                </c:pt>
                <c:pt idx="20">
                  <c:v>14.185465632613704</c:v>
                </c:pt>
                <c:pt idx="21">
                  <c:v>14.186678901842569</c:v>
                </c:pt>
                <c:pt idx="22">
                  <c:v>14.191957545192103</c:v>
                </c:pt>
                <c:pt idx="23">
                  <c:v>14.278687826932993</c:v>
                </c:pt>
                <c:pt idx="24">
                  <c:v>14.401406513745494</c:v>
                </c:pt>
                <c:pt idx="25">
                  <c:v>14.509318461106862</c:v>
                </c:pt>
                <c:pt idx="26">
                  <c:v>14.56183274342985</c:v>
                </c:pt>
                <c:pt idx="27">
                  <c:v>14.978143350935001</c:v>
                </c:pt>
                <c:pt idx="28">
                  <c:v>15.079764322388479</c:v>
                </c:pt>
                <c:pt idx="29">
                  <c:v>15.158801321362045</c:v>
                </c:pt>
              </c:numCache>
            </c:numRef>
          </c:xVal>
          <c:yVal>
            <c:numRef>
              <c:f>Silicon_TTF!$W$2:$W$31</c:f>
              <c:numCache>
                <c:formatCode>General</c:formatCode>
                <c:ptCount val="30"/>
                <c:pt idx="0">
                  <c:v>-3.4011047779222592</c:v>
                </c:pt>
                <c:pt idx="1">
                  <c:v>-2.6908598602282483</c:v>
                </c:pt>
                <c:pt idx="2">
                  <c:v>-2.267790710249213</c:v>
                </c:pt>
                <c:pt idx="3">
                  <c:v>-1.9619646818064604</c:v>
                </c:pt>
                <c:pt idx="4">
                  <c:v>-1.7201000600006888</c:v>
                </c:pt>
                <c:pt idx="5">
                  <c:v>-1.5184389851803086</c:v>
                </c:pt>
                <c:pt idx="6">
                  <c:v>-1.34428422486077</c:v>
                </c:pt>
                <c:pt idx="7">
                  <c:v>-1.1900325086561372</c:v>
                </c:pt>
                <c:pt idx="8">
                  <c:v>-1.0507547064187666</c:v>
                </c:pt>
                <c:pt idx="9">
                  <c:v>-0.92305909196088587</c:v>
                </c:pt>
                <c:pt idx="10">
                  <c:v>-0.80449845381764873</c:v>
                </c:pt>
                <c:pt idx="11">
                  <c:v>-0.69323528138253521</c:v>
                </c:pt>
                <c:pt idx="12">
                  <c:v>-0.58784022150523252</c:v>
                </c:pt>
                <c:pt idx="13">
                  <c:v>-0.48716394450753059</c:v>
                </c:pt>
                <c:pt idx="14">
                  <c:v>-0.39025143561248848</c:v>
                </c:pt>
                <c:pt idx="15">
                  <c:v>-0.29628156339520606</c:v>
                </c:pt>
                <c:pt idx="16">
                  <c:v>-0.20452177024530704</c:v>
                </c:pt>
                <c:pt idx="17">
                  <c:v>-0.11429134449298467</c:v>
                </c:pt>
                <c:pt idx="18">
                  <c:v>-2.4928500959579672E-2</c:v>
                </c:pt>
                <c:pt idx="19">
                  <c:v>6.4242939754468029E-2</c:v>
                </c:pt>
                <c:pt idx="20">
                  <c:v>0.15395199009564994</c:v>
                </c:pt>
                <c:pt idx="21">
                  <c:v>0.24503068695726662</c:v>
                </c:pt>
                <c:pt idx="22">
                  <c:v>0.33848710759834533</c:v>
                </c:pt>
                <c:pt idx="23">
                  <c:v>0.43562211760927566</c:v>
                </c:pt>
                <c:pt idx="24">
                  <c:v>0.53823372152596427</c:v>
                </c:pt>
                <c:pt idx="25">
                  <c:v>0.64901204052374939</c:v>
                </c:pt>
                <c:pt idx="26">
                  <c:v>0.77240360155326682</c:v>
                </c:pt>
                <c:pt idx="27">
                  <c:v>0.91686494767638582</c:v>
                </c:pt>
                <c:pt idx="28">
                  <c:v>1.1026911506241235</c:v>
                </c:pt>
                <c:pt idx="29">
                  <c:v>1.4136356249281929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7F4-4B80-9D0A-E60B055E85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6517136"/>
        <c:axId val="746517496"/>
      </c:scatterChart>
      <c:valAx>
        <c:axId val="7465171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ln(TTF)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6517496"/>
        <c:crosses val="autoZero"/>
        <c:crossBetween val="midCat"/>
      </c:valAx>
      <c:valAx>
        <c:axId val="746517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ln(-ln(1-F(t))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65171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ayout>
        <c:manualLayout>
          <c:xMode val="edge"/>
          <c:yMode val="edge"/>
          <c:x val="0.81099849195092522"/>
          <c:y val="0.13731916027391097"/>
          <c:w val="0.15524566182556004"/>
          <c:h val="0.3971295292785094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Si T=120C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616458369925375E-2"/>
          <c:y val="0.16595078299776286"/>
          <c:w val="0.70975856061719755"/>
          <c:h val="0.7168007187021086"/>
        </c:manualLayout>
      </c:layout>
      <c:scatterChart>
        <c:scatterStyle val="lineMarker"/>
        <c:varyColors val="0"/>
        <c:ser>
          <c:idx val="0"/>
          <c:order val="0"/>
          <c:tx>
            <c:v>V=1V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30033700179098766"/>
                  <c:y val="0.3046743821451848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Silicon_TTF!$Q$2:$Q$31</c:f>
              <c:numCache>
                <c:formatCode>General</c:formatCode>
                <c:ptCount val="30"/>
                <c:pt idx="0">
                  <c:v>13.085406704670572</c:v>
                </c:pt>
                <c:pt idx="1">
                  <c:v>13.930630925221164</c:v>
                </c:pt>
                <c:pt idx="2">
                  <c:v>14.071885031002115</c:v>
                </c:pt>
                <c:pt idx="3">
                  <c:v>14.081957855282477</c:v>
                </c:pt>
                <c:pt idx="4">
                  <c:v>14.084406913968092</c:v>
                </c:pt>
                <c:pt idx="5">
                  <c:v>14.118927701982042</c:v>
                </c:pt>
                <c:pt idx="6">
                  <c:v>14.18674305423</c:v>
                </c:pt>
                <c:pt idx="7">
                  <c:v>14.290511497366992</c:v>
                </c:pt>
                <c:pt idx="8">
                  <c:v>14.329309157487224</c:v>
                </c:pt>
                <c:pt idx="9">
                  <c:v>14.383366232841883</c:v>
                </c:pt>
                <c:pt idx="10">
                  <c:v>14.484286841410439</c:v>
                </c:pt>
                <c:pt idx="11">
                  <c:v>14.659705590396253</c:v>
                </c:pt>
                <c:pt idx="12">
                  <c:v>14.682266848598594</c:v>
                </c:pt>
                <c:pt idx="13">
                  <c:v>14.84062023046852</c:v>
                </c:pt>
                <c:pt idx="14">
                  <c:v>14.901044338875788</c:v>
                </c:pt>
                <c:pt idx="15">
                  <c:v>14.943610799690468</c:v>
                </c:pt>
                <c:pt idx="16">
                  <c:v>14.946804346268763</c:v>
                </c:pt>
                <c:pt idx="17">
                  <c:v>15.068837091407335</c:v>
                </c:pt>
                <c:pt idx="18">
                  <c:v>15.181653576002551</c:v>
                </c:pt>
                <c:pt idx="19">
                  <c:v>15.308515055168817</c:v>
                </c:pt>
                <c:pt idx="20">
                  <c:v>15.384290541903399</c:v>
                </c:pt>
                <c:pt idx="21">
                  <c:v>15.405593783208795</c:v>
                </c:pt>
                <c:pt idx="22">
                  <c:v>15.505015579460993</c:v>
                </c:pt>
                <c:pt idx="23">
                  <c:v>15.572350033909467</c:v>
                </c:pt>
                <c:pt idx="24">
                  <c:v>15.603147010183779</c:v>
                </c:pt>
                <c:pt idx="25">
                  <c:v>15.846194090537304</c:v>
                </c:pt>
                <c:pt idx="26">
                  <c:v>15.92992583614431</c:v>
                </c:pt>
                <c:pt idx="27">
                  <c:v>16.186465664739004</c:v>
                </c:pt>
                <c:pt idx="28">
                  <c:v>16.191095840897109</c:v>
                </c:pt>
                <c:pt idx="29">
                  <c:v>16.28889519170216</c:v>
                </c:pt>
              </c:numCache>
            </c:numRef>
          </c:xVal>
          <c:yVal>
            <c:numRef>
              <c:f>Silicon_TTF!$W$2:$W$31</c:f>
              <c:numCache>
                <c:formatCode>General</c:formatCode>
                <c:ptCount val="30"/>
                <c:pt idx="0">
                  <c:v>-3.4011047779222592</c:v>
                </c:pt>
                <c:pt idx="1">
                  <c:v>-2.6908598602282483</c:v>
                </c:pt>
                <c:pt idx="2">
                  <c:v>-2.267790710249213</c:v>
                </c:pt>
                <c:pt idx="3">
                  <c:v>-1.9619646818064604</c:v>
                </c:pt>
                <c:pt idx="4">
                  <c:v>-1.7201000600006888</c:v>
                </c:pt>
                <c:pt idx="5">
                  <c:v>-1.5184389851803086</c:v>
                </c:pt>
                <c:pt idx="6">
                  <c:v>-1.34428422486077</c:v>
                </c:pt>
                <c:pt idx="7">
                  <c:v>-1.1900325086561372</c:v>
                </c:pt>
                <c:pt idx="8">
                  <c:v>-1.0507547064187666</c:v>
                </c:pt>
                <c:pt idx="9">
                  <c:v>-0.92305909196088587</c:v>
                </c:pt>
                <c:pt idx="10">
                  <c:v>-0.80449845381764873</c:v>
                </c:pt>
                <c:pt idx="11">
                  <c:v>-0.69323528138253521</c:v>
                </c:pt>
                <c:pt idx="12">
                  <c:v>-0.58784022150523252</c:v>
                </c:pt>
                <c:pt idx="13">
                  <c:v>-0.48716394450753059</c:v>
                </c:pt>
                <c:pt idx="14">
                  <c:v>-0.39025143561248848</c:v>
                </c:pt>
                <c:pt idx="15">
                  <c:v>-0.29628156339520606</c:v>
                </c:pt>
                <c:pt idx="16">
                  <c:v>-0.20452177024530704</c:v>
                </c:pt>
                <c:pt idx="17">
                  <c:v>-0.11429134449298467</c:v>
                </c:pt>
                <c:pt idx="18">
                  <c:v>-2.4928500959579672E-2</c:v>
                </c:pt>
                <c:pt idx="19">
                  <c:v>6.4242939754468029E-2</c:v>
                </c:pt>
                <c:pt idx="20">
                  <c:v>0.15395199009564994</c:v>
                </c:pt>
                <c:pt idx="21">
                  <c:v>0.24503068695726662</c:v>
                </c:pt>
                <c:pt idx="22">
                  <c:v>0.33848710759834533</c:v>
                </c:pt>
                <c:pt idx="23">
                  <c:v>0.43562211760927566</c:v>
                </c:pt>
                <c:pt idx="24">
                  <c:v>0.53823372152596427</c:v>
                </c:pt>
                <c:pt idx="25">
                  <c:v>0.64901204052374939</c:v>
                </c:pt>
                <c:pt idx="26">
                  <c:v>0.77240360155326682</c:v>
                </c:pt>
                <c:pt idx="27">
                  <c:v>0.91686494767638582</c:v>
                </c:pt>
                <c:pt idx="28">
                  <c:v>1.1026911506241235</c:v>
                </c:pt>
                <c:pt idx="29">
                  <c:v>1.4136356249281929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E0B-4E1C-A6AE-C1D09852F0F4}"/>
            </c:ext>
          </c:extLst>
        </c:ser>
        <c:ser>
          <c:idx val="1"/>
          <c:order val="1"/>
          <c:tx>
            <c:v>V=1.2V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33699428343558152"/>
                  <c:y val="0.4258789127869082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Silicon_TTF!$R$2:$R$31</c:f>
              <c:numCache>
                <c:formatCode>General</c:formatCode>
                <c:ptCount val="30"/>
                <c:pt idx="0">
                  <c:v>12.20614867278068</c:v>
                </c:pt>
                <c:pt idx="1">
                  <c:v>12.591592207843483</c:v>
                </c:pt>
                <c:pt idx="2">
                  <c:v>12.597667048385249</c:v>
                </c:pt>
                <c:pt idx="3">
                  <c:v>12.702656622223394</c:v>
                </c:pt>
                <c:pt idx="4">
                  <c:v>12.823409129015264</c:v>
                </c:pt>
                <c:pt idx="5">
                  <c:v>13.067612113075302</c:v>
                </c:pt>
                <c:pt idx="6">
                  <c:v>13.088783167393359</c:v>
                </c:pt>
                <c:pt idx="7">
                  <c:v>13.374148895854946</c:v>
                </c:pt>
                <c:pt idx="8">
                  <c:v>13.627796368295261</c:v>
                </c:pt>
                <c:pt idx="9">
                  <c:v>13.636609313086508</c:v>
                </c:pt>
                <c:pt idx="10">
                  <c:v>13.80835731391454</c:v>
                </c:pt>
                <c:pt idx="11">
                  <c:v>13.840156082113769</c:v>
                </c:pt>
                <c:pt idx="12">
                  <c:v>13.841180093296341</c:v>
                </c:pt>
                <c:pt idx="13">
                  <c:v>13.852253687840008</c:v>
                </c:pt>
                <c:pt idx="14">
                  <c:v>13.863313432146279</c:v>
                </c:pt>
                <c:pt idx="15">
                  <c:v>13.872740979889324</c:v>
                </c:pt>
                <c:pt idx="16">
                  <c:v>14.15987120258535</c:v>
                </c:pt>
                <c:pt idx="17">
                  <c:v>14.162124024430293</c:v>
                </c:pt>
                <c:pt idx="18">
                  <c:v>14.163638703534907</c:v>
                </c:pt>
                <c:pt idx="19">
                  <c:v>14.178191768551491</c:v>
                </c:pt>
                <c:pt idx="20">
                  <c:v>14.359234629401749</c:v>
                </c:pt>
                <c:pt idx="21">
                  <c:v>14.369825566087744</c:v>
                </c:pt>
                <c:pt idx="22">
                  <c:v>14.393956804588944</c:v>
                </c:pt>
                <c:pt idx="23">
                  <c:v>14.447169809350765</c:v>
                </c:pt>
                <c:pt idx="24">
                  <c:v>14.505271233696137</c:v>
                </c:pt>
                <c:pt idx="25">
                  <c:v>14.615580622493097</c:v>
                </c:pt>
                <c:pt idx="26">
                  <c:v>14.711364712681192</c:v>
                </c:pt>
                <c:pt idx="27">
                  <c:v>15.065550484166565</c:v>
                </c:pt>
                <c:pt idx="28">
                  <c:v>15.153043393029893</c:v>
                </c:pt>
                <c:pt idx="29">
                  <c:v>15.2099071062737</c:v>
                </c:pt>
              </c:numCache>
            </c:numRef>
          </c:xVal>
          <c:yVal>
            <c:numRef>
              <c:f>Silicon_TTF!$W$2:$W$31</c:f>
              <c:numCache>
                <c:formatCode>General</c:formatCode>
                <c:ptCount val="30"/>
                <c:pt idx="0">
                  <c:v>-3.4011047779222592</c:v>
                </c:pt>
                <c:pt idx="1">
                  <c:v>-2.6908598602282483</c:v>
                </c:pt>
                <c:pt idx="2">
                  <c:v>-2.267790710249213</c:v>
                </c:pt>
                <c:pt idx="3">
                  <c:v>-1.9619646818064604</c:v>
                </c:pt>
                <c:pt idx="4">
                  <c:v>-1.7201000600006888</c:v>
                </c:pt>
                <c:pt idx="5">
                  <c:v>-1.5184389851803086</c:v>
                </c:pt>
                <c:pt idx="6">
                  <c:v>-1.34428422486077</c:v>
                </c:pt>
                <c:pt idx="7">
                  <c:v>-1.1900325086561372</c:v>
                </c:pt>
                <c:pt idx="8">
                  <c:v>-1.0507547064187666</c:v>
                </c:pt>
                <c:pt idx="9">
                  <c:v>-0.92305909196088587</c:v>
                </c:pt>
                <c:pt idx="10">
                  <c:v>-0.80449845381764873</c:v>
                </c:pt>
                <c:pt idx="11">
                  <c:v>-0.69323528138253521</c:v>
                </c:pt>
                <c:pt idx="12">
                  <c:v>-0.58784022150523252</c:v>
                </c:pt>
                <c:pt idx="13">
                  <c:v>-0.48716394450753059</c:v>
                </c:pt>
                <c:pt idx="14">
                  <c:v>-0.39025143561248848</c:v>
                </c:pt>
                <c:pt idx="15">
                  <c:v>-0.29628156339520606</c:v>
                </c:pt>
                <c:pt idx="16">
                  <c:v>-0.20452177024530704</c:v>
                </c:pt>
                <c:pt idx="17">
                  <c:v>-0.11429134449298467</c:v>
                </c:pt>
                <c:pt idx="18">
                  <c:v>-2.4928500959579672E-2</c:v>
                </c:pt>
                <c:pt idx="19">
                  <c:v>6.4242939754468029E-2</c:v>
                </c:pt>
                <c:pt idx="20">
                  <c:v>0.15395199009564994</c:v>
                </c:pt>
                <c:pt idx="21">
                  <c:v>0.24503068695726662</c:v>
                </c:pt>
                <c:pt idx="22">
                  <c:v>0.33848710759834533</c:v>
                </c:pt>
                <c:pt idx="23">
                  <c:v>0.43562211760927566</c:v>
                </c:pt>
                <c:pt idx="24">
                  <c:v>0.53823372152596427</c:v>
                </c:pt>
                <c:pt idx="25">
                  <c:v>0.64901204052374939</c:v>
                </c:pt>
                <c:pt idx="26">
                  <c:v>0.77240360155326682</c:v>
                </c:pt>
                <c:pt idx="27">
                  <c:v>0.91686494767638582</c:v>
                </c:pt>
                <c:pt idx="28">
                  <c:v>1.1026911506241235</c:v>
                </c:pt>
                <c:pt idx="29">
                  <c:v>1.4136356249281929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E0B-4E1C-A6AE-C1D09852F0F4}"/>
            </c:ext>
          </c:extLst>
        </c:ser>
        <c:ser>
          <c:idx val="2"/>
          <c:order val="2"/>
          <c:tx>
            <c:v>V=1.3V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35674193889690664"/>
                  <c:y val="0.6040655991826524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Silicon_TTF!$S$2:$S$31</c:f>
              <c:numCache>
                <c:formatCode>General</c:formatCode>
                <c:ptCount val="30"/>
                <c:pt idx="0">
                  <c:v>10.989613499396963</c:v>
                </c:pt>
                <c:pt idx="1">
                  <c:v>11.397407022974994</c:v>
                </c:pt>
                <c:pt idx="2">
                  <c:v>12.228301985276572</c:v>
                </c:pt>
                <c:pt idx="3">
                  <c:v>12.337196488049811</c:v>
                </c:pt>
                <c:pt idx="4">
                  <c:v>12.444714310366367</c:v>
                </c:pt>
                <c:pt idx="5">
                  <c:v>12.531508732927069</c:v>
                </c:pt>
                <c:pt idx="6">
                  <c:v>12.651194000706562</c:v>
                </c:pt>
                <c:pt idx="7">
                  <c:v>12.743944958906276</c:v>
                </c:pt>
                <c:pt idx="8">
                  <c:v>12.887690135706421</c:v>
                </c:pt>
                <c:pt idx="9">
                  <c:v>12.91899497547594</c:v>
                </c:pt>
                <c:pt idx="10">
                  <c:v>12.954925423929311</c:v>
                </c:pt>
                <c:pt idx="11">
                  <c:v>13.040259936507404</c:v>
                </c:pt>
                <c:pt idx="12">
                  <c:v>13.101224746992829</c:v>
                </c:pt>
                <c:pt idx="13">
                  <c:v>13.118722186288101</c:v>
                </c:pt>
                <c:pt idx="14">
                  <c:v>13.349545878144291</c:v>
                </c:pt>
                <c:pt idx="15">
                  <c:v>13.367100358515756</c:v>
                </c:pt>
                <c:pt idx="16">
                  <c:v>13.383012368455651</c:v>
                </c:pt>
                <c:pt idx="17">
                  <c:v>13.399291060016859</c:v>
                </c:pt>
                <c:pt idx="18">
                  <c:v>13.470096657524437</c:v>
                </c:pt>
                <c:pt idx="19">
                  <c:v>13.565400598408107</c:v>
                </c:pt>
                <c:pt idx="20">
                  <c:v>13.583646710832022</c:v>
                </c:pt>
                <c:pt idx="21">
                  <c:v>13.587576348435348</c:v>
                </c:pt>
                <c:pt idx="22">
                  <c:v>13.603338921673968</c:v>
                </c:pt>
                <c:pt idx="23">
                  <c:v>13.686017819409455</c:v>
                </c:pt>
                <c:pt idx="24">
                  <c:v>13.743494178737055</c:v>
                </c:pt>
                <c:pt idx="25">
                  <c:v>13.852726681139032</c:v>
                </c:pt>
                <c:pt idx="26">
                  <c:v>13.887994683686481</c:v>
                </c:pt>
                <c:pt idx="27">
                  <c:v>13.895658365229464</c:v>
                </c:pt>
                <c:pt idx="28">
                  <c:v>14.260026579117664</c:v>
                </c:pt>
                <c:pt idx="29">
                  <c:v>14.784886651150563</c:v>
                </c:pt>
              </c:numCache>
            </c:numRef>
          </c:xVal>
          <c:yVal>
            <c:numRef>
              <c:f>Silicon_TTF!$W$2:$W$31</c:f>
              <c:numCache>
                <c:formatCode>General</c:formatCode>
                <c:ptCount val="30"/>
                <c:pt idx="0">
                  <c:v>-3.4011047779222592</c:v>
                </c:pt>
                <c:pt idx="1">
                  <c:v>-2.6908598602282483</c:v>
                </c:pt>
                <c:pt idx="2">
                  <c:v>-2.267790710249213</c:v>
                </c:pt>
                <c:pt idx="3">
                  <c:v>-1.9619646818064604</c:v>
                </c:pt>
                <c:pt idx="4">
                  <c:v>-1.7201000600006888</c:v>
                </c:pt>
                <c:pt idx="5">
                  <c:v>-1.5184389851803086</c:v>
                </c:pt>
                <c:pt idx="6">
                  <c:v>-1.34428422486077</c:v>
                </c:pt>
                <c:pt idx="7">
                  <c:v>-1.1900325086561372</c:v>
                </c:pt>
                <c:pt idx="8">
                  <c:v>-1.0507547064187666</c:v>
                </c:pt>
                <c:pt idx="9">
                  <c:v>-0.92305909196088587</c:v>
                </c:pt>
                <c:pt idx="10">
                  <c:v>-0.80449845381764873</c:v>
                </c:pt>
                <c:pt idx="11">
                  <c:v>-0.69323528138253521</c:v>
                </c:pt>
                <c:pt idx="12">
                  <c:v>-0.58784022150523252</c:v>
                </c:pt>
                <c:pt idx="13">
                  <c:v>-0.48716394450753059</c:v>
                </c:pt>
                <c:pt idx="14">
                  <c:v>-0.39025143561248848</c:v>
                </c:pt>
                <c:pt idx="15">
                  <c:v>-0.29628156339520606</c:v>
                </c:pt>
                <c:pt idx="16">
                  <c:v>-0.20452177024530704</c:v>
                </c:pt>
                <c:pt idx="17">
                  <c:v>-0.11429134449298467</c:v>
                </c:pt>
                <c:pt idx="18">
                  <c:v>-2.4928500959579672E-2</c:v>
                </c:pt>
                <c:pt idx="19">
                  <c:v>6.4242939754468029E-2</c:v>
                </c:pt>
                <c:pt idx="20">
                  <c:v>0.15395199009564994</c:v>
                </c:pt>
                <c:pt idx="21">
                  <c:v>0.24503068695726662</c:v>
                </c:pt>
                <c:pt idx="22">
                  <c:v>0.33848710759834533</c:v>
                </c:pt>
                <c:pt idx="23">
                  <c:v>0.43562211760927566</c:v>
                </c:pt>
                <c:pt idx="24">
                  <c:v>0.53823372152596427</c:v>
                </c:pt>
                <c:pt idx="25">
                  <c:v>0.64901204052374939</c:v>
                </c:pt>
                <c:pt idx="26">
                  <c:v>0.77240360155326682</c:v>
                </c:pt>
                <c:pt idx="27">
                  <c:v>0.91686494767638582</c:v>
                </c:pt>
                <c:pt idx="28">
                  <c:v>1.1026911506241235</c:v>
                </c:pt>
                <c:pt idx="29">
                  <c:v>1.4136356249281929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E0B-4E1C-A6AE-C1D09852F0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3007456"/>
        <c:axId val="693013576"/>
      </c:scatterChart>
      <c:valAx>
        <c:axId val="6930074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ln(TTF)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3013576"/>
        <c:crosses val="autoZero"/>
        <c:crossBetween val="midCat"/>
      </c:valAx>
      <c:valAx>
        <c:axId val="693013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ln(-ln(1-F(t))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30074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ayout>
        <c:manualLayout>
          <c:xMode val="edge"/>
          <c:yMode val="edge"/>
          <c:x val="0.83365569248787352"/>
          <c:y val="0.18853564445383925"/>
          <c:w val="0.13103471876186149"/>
          <c:h val="0.340504853000757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Si T=140C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5751074222298171E-2"/>
          <c:y val="0.16763841807909605"/>
          <c:w val="0.71542222842650283"/>
          <c:h val="0.71392072601094358"/>
        </c:manualLayout>
      </c:layout>
      <c:scatterChart>
        <c:scatterStyle val="lineMarker"/>
        <c:varyColors val="0"/>
        <c:ser>
          <c:idx val="0"/>
          <c:order val="0"/>
          <c:tx>
            <c:v>V=1V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32914828344344288"/>
                  <c:y val="0.3792542372881356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Silicon_TTF!$T$2:$T$31</c:f>
              <c:numCache>
                <c:formatCode>General</c:formatCode>
                <c:ptCount val="30"/>
                <c:pt idx="0">
                  <c:v>13.104586286383592</c:v>
                </c:pt>
                <c:pt idx="1">
                  <c:v>13.328560495144147</c:v>
                </c:pt>
                <c:pt idx="2">
                  <c:v>13.439902931948611</c:v>
                </c:pt>
                <c:pt idx="3">
                  <c:v>13.552400707189459</c:v>
                </c:pt>
                <c:pt idx="4">
                  <c:v>13.634761129078944</c:v>
                </c:pt>
                <c:pt idx="5">
                  <c:v>13.647537550497436</c:v>
                </c:pt>
                <c:pt idx="6">
                  <c:v>13.801435116542706</c:v>
                </c:pt>
                <c:pt idx="7">
                  <c:v>13.850565990709363</c:v>
                </c:pt>
                <c:pt idx="8">
                  <c:v>13.931170468995102</c:v>
                </c:pt>
                <c:pt idx="9">
                  <c:v>14.010736063764279</c:v>
                </c:pt>
                <c:pt idx="10">
                  <c:v>14.087322241098819</c:v>
                </c:pt>
                <c:pt idx="11">
                  <c:v>14.228904222146909</c:v>
                </c:pt>
                <c:pt idx="12">
                  <c:v>14.324787664826708</c:v>
                </c:pt>
                <c:pt idx="13">
                  <c:v>14.344088678434003</c:v>
                </c:pt>
                <c:pt idx="14">
                  <c:v>14.408942806847577</c:v>
                </c:pt>
                <c:pt idx="15">
                  <c:v>14.477337766454852</c:v>
                </c:pt>
                <c:pt idx="16">
                  <c:v>14.496107268331361</c:v>
                </c:pt>
                <c:pt idx="17">
                  <c:v>14.577453568315544</c:v>
                </c:pt>
                <c:pt idx="18">
                  <c:v>14.615951559690364</c:v>
                </c:pt>
                <c:pt idx="19">
                  <c:v>14.637159681903119</c:v>
                </c:pt>
                <c:pt idx="20">
                  <c:v>14.664907894905387</c:v>
                </c:pt>
                <c:pt idx="21">
                  <c:v>14.701654310539457</c:v>
                </c:pt>
                <c:pt idx="22">
                  <c:v>14.816752070721062</c:v>
                </c:pt>
                <c:pt idx="23">
                  <c:v>14.998479319845867</c:v>
                </c:pt>
                <c:pt idx="24">
                  <c:v>15.092159558086989</c:v>
                </c:pt>
                <c:pt idx="25">
                  <c:v>15.124580567774085</c:v>
                </c:pt>
                <c:pt idx="26">
                  <c:v>15.289688521371676</c:v>
                </c:pt>
                <c:pt idx="27">
                  <c:v>15.296646842117038</c:v>
                </c:pt>
                <c:pt idx="28">
                  <c:v>15.54585374428205</c:v>
                </c:pt>
                <c:pt idx="29">
                  <c:v>15.592113915546612</c:v>
                </c:pt>
              </c:numCache>
            </c:numRef>
          </c:xVal>
          <c:yVal>
            <c:numRef>
              <c:f>Silicon_TTF!$W$2:$W$31</c:f>
              <c:numCache>
                <c:formatCode>General</c:formatCode>
                <c:ptCount val="30"/>
                <c:pt idx="0">
                  <c:v>-3.4011047779222592</c:v>
                </c:pt>
                <c:pt idx="1">
                  <c:v>-2.6908598602282483</c:v>
                </c:pt>
                <c:pt idx="2">
                  <c:v>-2.267790710249213</c:v>
                </c:pt>
                <c:pt idx="3">
                  <c:v>-1.9619646818064604</c:v>
                </c:pt>
                <c:pt idx="4">
                  <c:v>-1.7201000600006888</c:v>
                </c:pt>
                <c:pt idx="5">
                  <c:v>-1.5184389851803086</c:v>
                </c:pt>
                <c:pt idx="6">
                  <c:v>-1.34428422486077</c:v>
                </c:pt>
                <c:pt idx="7">
                  <c:v>-1.1900325086561372</c:v>
                </c:pt>
                <c:pt idx="8">
                  <c:v>-1.0507547064187666</c:v>
                </c:pt>
                <c:pt idx="9">
                  <c:v>-0.92305909196088587</c:v>
                </c:pt>
                <c:pt idx="10">
                  <c:v>-0.80449845381764873</c:v>
                </c:pt>
                <c:pt idx="11">
                  <c:v>-0.69323528138253521</c:v>
                </c:pt>
                <c:pt idx="12">
                  <c:v>-0.58784022150523252</c:v>
                </c:pt>
                <c:pt idx="13">
                  <c:v>-0.48716394450753059</c:v>
                </c:pt>
                <c:pt idx="14">
                  <c:v>-0.39025143561248848</c:v>
                </c:pt>
                <c:pt idx="15">
                  <c:v>-0.29628156339520606</c:v>
                </c:pt>
                <c:pt idx="16">
                  <c:v>-0.20452177024530704</c:v>
                </c:pt>
                <c:pt idx="17">
                  <c:v>-0.11429134449298467</c:v>
                </c:pt>
                <c:pt idx="18">
                  <c:v>-2.4928500959579672E-2</c:v>
                </c:pt>
                <c:pt idx="19">
                  <c:v>6.4242939754468029E-2</c:v>
                </c:pt>
                <c:pt idx="20">
                  <c:v>0.15395199009564994</c:v>
                </c:pt>
                <c:pt idx="21">
                  <c:v>0.24503068695726662</c:v>
                </c:pt>
                <c:pt idx="22">
                  <c:v>0.33848710759834533</c:v>
                </c:pt>
                <c:pt idx="23">
                  <c:v>0.43562211760927566</c:v>
                </c:pt>
                <c:pt idx="24">
                  <c:v>0.53823372152596427</c:v>
                </c:pt>
                <c:pt idx="25">
                  <c:v>0.64901204052374939</c:v>
                </c:pt>
                <c:pt idx="26">
                  <c:v>0.77240360155326682</c:v>
                </c:pt>
                <c:pt idx="27">
                  <c:v>0.91686494767638582</c:v>
                </c:pt>
                <c:pt idx="28">
                  <c:v>1.1026911506241235</c:v>
                </c:pt>
                <c:pt idx="29">
                  <c:v>1.4136356249281929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996-4D53-93CF-DF41C2D0D8B2}"/>
            </c:ext>
          </c:extLst>
        </c:ser>
        <c:ser>
          <c:idx val="1"/>
          <c:order val="1"/>
          <c:tx>
            <c:v>V=1.2V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37494178416602331"/>
                  <c:y val="0.5103276836158191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Silicon_TTF!$U$2:$U$31</c:f>
              <c:numCache>
                <c:formatCode>General</c:formatCode>
                <c:ptCount val="30"/>
                <c:pt idx="0">
                  <c:v>12.005002985669345</c:v>
                </c:pt>
                <c:pt idx="1">
                  <c:v>12.326402022621586</c:v>
                </c:pt>
                <c:pt idx="2">
                  <c:v>12.470670459803554</c:v>
                </c:pt>
                <c:pt idx="3">
                  <c:v>12.629347721956247</c:v>
                </c:pt>
                <c:pt idx="4">
                  <c:v>12.706386018903951</c:v>
                </c:pt>
                <c:pt idx="5">
                  <c:v>12.767553234221927</c:v>
                </c:pt>
                <c:pt idx="6">
                  <c:v>12.775937012513952</c:v>
                </c:pt>
                <c:pt idx="7">
                  <c:v>12.786434438595984</c:v>
                </c:pt>
                <c:pt idx="8">
                  <c:v>12.825134392297596</c:v>
                </c:pt>
                <c:pt idx="9">
                  <c:v>12.990948202266699</c:v>
                </c:pt>
                <c:pt idx="10">
                  <c:v>13.03090066012431</c:v>
                </c:pt>
                <c:pt idx="11">
                  <c:v>13.081340323464133</c:v>
                </c:pt>
                <c:pt idx="12">
                  <c:v>13.204595171144948</c:v>
                </c:pt>
                <c:pt idx="13">
                  <c:v>13.212078581920386</c:v>
                </c:pt>
                <c:pt idx="14">
                  <c:v>13.281116997923304</c:v>
                </c:pt>
                <c:pt idx="15">
                  <c:v>13.410177459040787</c:v>
                </c:pt>
                <c:pt idx="16">
                  <c:v>13.495934444858628</c:v>
                </c:pt>
                <c:pt idx="17">
                  <c:v>13.527134219559299</c:v>
                </c:pt>
                <c:pt idx="18">
                  <c:v>13.562403928249875</c:v>
                </c:pt>
                <c:pt idx="19">
                  <c:v>13.570353105911103</c:v>
                </c:pt>
                <c:pt idx="20">
                  <c:v>13.646589078000895</c:v>
                </c:pt>
                <c:pt idx="21">
                  <c:v>13.68290429148303</c:v>
                </c:pt>
                <c:pt idx="22">
                  <c:v>13.684387643065877</c:v>
                </c:pt>
                <c:pt idx="23">
                  <c:v>13.710817182858202</c:v>
                </c:pt>
                <c:pt idx="24">
                  <c:v>13.856251650758294</c:v>
                </c:pt>
                <c:pt idx="25">
                  <c:v>13.907329197846646</c:v>
                </c:pt>
                <c:pt idx="26">
                  <c:v>14.112800252206853</c:v>
                </c:pt>
                <c:pt idx="27">
                  <c:v>14.129852574080651</c:v>
                </c:pt>
                <c:pt idx="28">
                  <c:v>14.156520491421894</c:v>
                </c:pt>
                <c:pt idx="29">
                  <c:v>14.324045689247898</c:v>
                </c:pt>
              </c:numCache>
            </c:numRef>
          </c:xVal>
          <c:yVal>
            <c:numRef>
              <c:f>Silicon_TTF!$W$2:$W$31</c:f>
              <c:numCache>
                <c:formatCode>General</c:formatCode>
                <c:ptCount val="30"/>
                <c:pt idx="0">
                  <c:v>-3.4011047779222592</c:v>
                </c:pt>
                <c:pt idx="1">
                  <c:v>-2.6908598602282483</c:v>
                </c:pt>
                <c:pt idx="2">
                  <c:v>-2.267790710249213</c:v>
                </c:pt>
                <c:pt idx="3">
                  <c:v>-1.9619646818064604</c:v>
                </c:pt>
                <c:pt idx="4">
                  <c:v>-1.7201000600006888</c:v>
                </c:pt>
                <c:pt idx="5">
                  <c:v>-1.5184389851803086</c:v>
                </c:pt>
                <c:pt idx="6">
                  <c:v>-1.34428422486077</c:v>
                </c:pt>
                <c:pt idx="7">
                  <c:v>-1.1900325086561372</c:v>
                </c:pt>
                <c:pt idx="8">
                  <c:v>-1.0507547064187666</c:v>
                </c:pt>
                <c:pt idx="9">
                  <c:v>-0.92305909196088587</c:v>
                </c:pt>
                <c:pt idx="10">
                  <c:v>-0.80449845381764873</c:v>
                </c:pt>
                <c:pt idx="11">
                  <c:v>-0.69323528138253521</c:v>
                </c:pt>
                <c:pt idx="12">
                  <c:v>-0.58784022150523252</c:v>
                </c:pt>
                <c:pt idx="13">
                  <c:v>-0.48716394450753059</c:v>
                </c:pt>
                <c:pt idx="14">
                  <c:v>-0.39025143561248848</c:v>
                </c:pt>
                <c:pt idx="15">
                  <c:v>-0.29628156339520606</c:v>
                </c:pt>
                <c:pt idx="16">
                  <c:v>-0.20452177024530704</c:v>
                </c:pt>
                <c:pt idx="17">
                  <c:v>-0.11429134449298467</c:v>
                </c:pt>
                <c:pt idx="18">
                  <c:v>-2.4928500959579672E-2</c:v>
                </c:pt>
                <c:pt idx="19">
                  <c:v>6.4242939754468029E-2</c:v>
                </c:pt>
                <c:pt idx="20">
                  <c:v>0.15395199009564994</c:v>
                </c:pt>
                <c:pt idx="21">
                  <c:v>0.24503068695726662</c:v>
                </c:pt>
                <c:pt idx="22">
                  <c:v>0.33848710759834533</c:v>
                </c:pt>
                <c:pt idx="23">
                  <c:v>0.43562211760927566</c:v>
                </c:pt>
                <c:pt idx="24">
                  <c:v>0.53823372152596427</c:v>
                </c:pt>
                <c:pt idx="25">
                  <c:v>0.64901204052374939</c:v>
                </c:pt>
                <c:pt idx="26">
                  <c:v>0.77240360155326682</c:v>
                </c:pt>
                <c:pt idx="27">
                  <c:v>0.91686494767638582</c:v>
                </c:pt>
                <c:pt idx="28">
                  <c:v>1.1026911506241235</c:v>
                </c:pt>
                <c:pt idx="29">
                  <c:v>1.4136356249281929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996-4D53-93CF-DF41C2D0D8B2}"/>
            </c:ext>
          </c:extLst>
        </c:ser>
        <c:ser>
          <c:idx val="2"/>
          <c:order val="2"/>
          <c:tx>
            <c:v>V=1.4V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40994742799446693"/>
                  <c:y val="0.6309967525245785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Silicon_TTF!$V$2:$V$31</c:f>
              <c:numCache>
                <c:formatCode>General</c:formatCode>
                <c:ptCount val="30"/>
                <c:pt idx="0">
                  <c:v>10.883178319391098</c:v>
                </c:pt>
                <c:pt idx="1">
                  <c:v>11.077207381291494</c:v>
                </c:pt>
                <c:pt idx="2">
                  <c:v>11.5210993562534</c:v>
                </c:pt>
                <c:pt idx="3">
                  <c:v>11.57174283320424</c:v>
                </c:pt>
                <c:pt idx="4">
                  <c:v>11.577236211557356</c:v>
                </c:pt>
                <c:pt idx="5">
                  <c:v>11.820001034909899</c:v>
                </c:pt>
                <c:pt idx="6">
                  <c:v>11.848429876029609</c:v>
                </c:pt>
                <c:pt idx="7">
                  <c:v>11.875075902284324</c:v>
                </c:pt>
                <c:pt idx="8">
                  <c:v>11.893122977738754</c:v>
                </c:pt>
                <c:pt idx="9">
                  <c:v>11.973821217833677</c:v>
                </c:pt>
                <c:pt idx="10">
                  <c:v>12.129732537264168</c:v>
                </c:pt>
                <c:pt idx="11">
                  <c:v>12.316391074819977</c:v>
                </c:pt>
                <c:pt idx="12">
                  <c:v>12.375526456674573</c:v>
                </c:pt>
                <c:pt idx="13">
                  <c:v>12.444383849125828</c:v>
                </c:pt>
                <c:pt idx="14">
                  <c:v>12.466337568277737</c:v>
                </c:pt>
                <c:pt idx="15">
                  <c:v>12.553178661443408</c:v>
                </c:pt>
                <c:pt idx="16">
                  <c:v>12.591070318167747</c:v>
                </c:pt>
                <c:pt idx="17">
                  <c:v>12.664383977288372</c:v>
                </c:pt>
                <c:pt idx="18">
                  <c:v>12.705605090511822</c:v>
                </c:pt>
                <c:pt idx="19">
                  <c:v>12.714624542468821</c:v>
                </c:pt>
                <c:pt idx="20">
                  <c:v>12.723699141607725</c:v>
                </c:pt>
                <c:pt idx="21">
                  <c:v>12.770888161765377</c:v>
                </c:pt>
                <c:pt idx="22">
                  <c:v>12.823358115869953</c:v>
                </c:pt>
                <c:pt idx="23">
                  <c:v>12.942823583484184</c:v>
                </c:pt>
                <c:pt idx="24">
                  <c:v>12.977044262404279</c:v>
                </c:pt>
                <c:pt idx="25">
                  <c:v>12.977945300122482</c:v>
                </c:pt>
                <c:pt idx="26">
                  <c:v>13.040948669323789</c:v>
                </c:pt>
                <c:pt idx="27">
                  <c:v>13.102697717635703</c:v>
                </c:pt>
                <c:pt idx="28">
                  <c:v>13.131088962574713</c:v>
                </c:pt>
                <c:pt idx="29">
                  <c:v>13.259329762615625</c:v>
                </c:pt>
              </c:numCache>
            </c:numRef>
          </c:xVal>
          <c:yVal>
            <c:numRef>
              <c:f>Silicon_TTF!$W$2:$W$31</c:f>
              <c:numCache>
                <c:formatCode>General</c:formatCode>
                <c:ptCount val="30"/>
                <c:pt idx="0">
                  <c:v>-3.4011047779222592</c:v>
                </c:pt>
                <c:pt idx="1">
                  <c:v>-2.6908598602282483</c:v>
                </c:pt>
                <c:pt idx="2">
                  <c:v>-2.267790710249213</c:v>
                </c:pt>
                <c:pt idx="3">
                  <c:v>-1.9619646818064604</c:v>
                </c:pt>
                <c:pt idx="4">
                  <c:v>-1.7201000600006888</c:v>
                </c:pt>
                <c:pt idx="5">
                  <c:v>-1.5184389851803086</c:v>
                </c:pt>
                <c:pt idx="6">
                  <c:v>-1.34428422486077</c:v>
                </c:pt>
                <c:pt idx="7">
                  <c:v>-1.1900325086561372</c:v>
                </c:pt>
                <c:pt idx="8">
                  <c:v>-1.0507547064187666</c:v>
                </c:pt>
                <c:pt idx="9">
                  <c:v>-0.92305909196088587</c:v>
                </c:pt>
                <c:pt idx="10">
                  <c:v>-0.80449845381764873</c:v>
                </c:pt>
                <c:pt idx="11">
                  <c:v>-0.69323528138253521</c:v>
                </c:pt>
                <c:pt idx="12">
                  <c:v>-0.58784022150523252</c:v>
                </c:pt>
                <c:pt idx="13">
                  <c:v>-0.48716394450753059</c:v>
                </c:pt>
                <c:pt idx="14">
                  <c:v>-0.39025143561248848</c:v>
                </c:pt>
                <c:pt idx="15">
                  <c:v>-0.29628156339520606</c:v>
                </c:pt>
                <c:pt idx="16">
                  <c:v>-0.20452177024530704</c:v>
                </c:pt>
                <c:pt idx="17">
                  <c:v>-0.11429134449298467</c:v>
                </c:pt>
                <c:pt idx="18">
                  <c:v>-2.4928500959579672E-2</c:v>
                </c:pt>
                <c:pt idx="19">
                  <c:v>6.4242939754468029E-2</c:v>
                </c:pt>
                <c:pt idx="20">
                  <c:v>0.15395199009564994</c:v>
                </c:pt>
                <c:pt idx="21">
                  <c:v>0.24503068695726662</c:v>
                </c:pt>
                <c:pt idx="22">
                  <c:v>0.33848710759834533</c:v>
                </c:pt>
                <c:pt idx="23">
                  <c:v>0.43562211760927566</c:v>
                </c:pt>
                <c:pt idx="24">
                  <c:v>0.53823372152596427</c:v>
                </c:pt>
                <c:pt idx="25">
                  <c:v>0.64901204052374939</c:v>
                </c:pt>
                <c:pt idx="26">
                  <c:v>0.77240360155326682</c:v>
                </c:pt>
                <c:pt idx="27">
                  <c:v>0.91686494767638582</c:v>
                </c:pt>
                <c:pt idx="28">
                  <c:v>1.1026911506241235</c:v>
                </c:pt>
                <c:pt idx="29">
                  <c:v>1.4136356249281929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996-4D53-93CF-DF41C2D0D8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6525056"/>
        <c:axId val="746535136"/>
      </c:scatterChart>
      <c:valAx>
        <c:axId val="7465250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ln(TTF)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6535136"/>
        <c:crosses val="autoZero"/>
        <c:crossBetween val="midCat"/>
      </c:valAx>
      <c:valAx>
        <c:axId val="746535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ln(-ln(1-F(t))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65250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ayout>
        <c:manualLayout>
          <c:xMode val="edge"/>
          <c:yMode val="edge"/>
          <c:x val="0.82028617765308176"/>
          <c:y val="0.19720592553049518"/>
          <c:w val="0.13395283035432257"/>
          <c:h val="0.2977127368437120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T80, V12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-0.19649037620297463"/>
                  <c:y val="-1.431549687282835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GaN_Rds!$A$2:$A$102</c:f>
              <c:numCache>
                <c:formatCode>General</c:formatCode>
                <c:ptCount val="10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</c:numCache>
            </c:numRef>
          </c:xVal>
          <c:yVal>
            <c:numRef>
              <c:f>GaN_Rds!$B$2:$B$102</c:f>
              <c:numCache>
                <c:formatCode>General</c:formatCode>
                <c:ptCount val="101"/>
                <c:pt idx="0">
                  <c:v>1</c:v>
                </c:pt>
                <c:pt idx="1">
                  <c:v>1.00000907369334</c:v>
                </c:pt>
                <c:pt idx="2">
                  <c:v>1.0000181477983501</c:v>
                </c:pt>
                <c:pt idx="3">
                  <c:v>1.0000272223150399</c:v>
                </c:pt>
                <c:pt idx="4">
                  <c:v>1.00003629724342</c:v>
                </c:pt>
                <c:pt idx="5">
                  <c:v>1.0000453725835201</c:v>
                </c:pt>
                <c:pt idx="6">
                  <c:v>1.00005444833535</c:v>
                </c:pt>
                <c:pt idx="7">
                  <c:v>1.00006352449893</c:v>
                </c:pt>
                <c:pt idx="8">
                  <c:v>1.00007260107429</c:v>
                </c:pt>
                <c:pt idx="9">
                  <c:v>1.0000816780614401</c:v>
                </c:pt>
                <c:pt idx="10">
                  <c:v>1.0000907554603899</c:v>
                </c:pt>
                <c:pt idx="11">
                  <c:v>1.0000998332711799</c:v>
                </c:pt>
                <c:pt idx="12">
                  <c:v>1.00010891149381</c:v>
                </c:pt>
                <c:pt idx="13">
                  <c:v>1.0001179901282999</c:v>
                </c:pt>
                <c:pt idx="14">
                  <c:v>1.00012706917468</c:v>
                </c:pt>
                <c:pt idx="15">
                  <c:v>1.0001361486329601</c:v>
                </c:pt>
                <c:pt idx="16">
                  <c:v>1.00014522850316</c:v>
                </c:pt>
                <c:pt idx="17">
                  <c:v>1.00015430878531</c:v>
                </c:pt>
                <c:pt idx="18">
                  <c:v>1.00016338947941</c:v>
                </c:pt>
                <c:pt idx="19">
                  <c:v>1.00017247058548</c:v>
                </c:pt>
                <c:pt idx="20">
                  <c:v>1.00018155210356</c:v>
                </c:pt>
                <c:pt idx="21">
                  <c:v>1.0001906340336499</c:v>
                </c:pt>
                <c:pt idx="22">
                  <c:v>1.0001997163757701</c:v>
                </c:pt>
                <c:pt idx="23">
                  <c:v>1.00020879912994</c:v>
                </c:pt>
                <c:pt idx="24">
                  <c:v>1.00021788229618</c:v>
                </c:pt>
                <c:pt idx="25">
                  <c:v>1.00022696587452</c:v>
                </c:pt>
                <c:pt idx="26">
                  <c:v>1.0002360498649601</c:v>
                </c:pt>
                <c:pt idx="27">
                  <c:v>1.00024513426753</c:v>
                </c:pt>
                <c:pt idx="28">
                  <c:v>1.0002542190822401</c:v>
                </c:pt>
                <c:pt idx="29">
                  <c:v>1.00026330430912</c:v>
                </c:pt>
                <c:pt idx="30">
                  <c:v>1.00027238994818</c:v>
                </c:pt>
                <c:pt idx="31">
                  <c:v>1.0002814759994401</c:v>
                </c:pt>
                <c:pt idx="32">
                  <c:v>1.0002905624629199</c:v>
                </c:pt>
                <c:pt idx="33">
                  <c:v>1.00029964933864</c:v>
                </c:pt>
                <c:pt idx="34">
                  <c:v>1.0003087366266199</c:v>
                </c:pt>
                <c:pt idx="35">
                  <c:v>1.00031782432688</c:v>
                </c:pt>
                <c:pt idx="36">
                  <c:v>1.0003269124394301</c:v>
                </c:pt>
                <c:pt idx="37">
                  <c:v>1.0003360009642901</c:v>
                </c:pt>
                <c:pt idx="38">
                  <c:v>1.0003450899014901</c:v>
                </c:pt>
                <c:pt idx="39">
                  <c:v>1.00035417925103</c:v>
                </c:pt>
                <c:pt idx="40">
                  <c:v>1.00036326901295</c:v>
                </c:pt>
                <c:pt idx="41">
                  <c:v>1.00037235918726</c:v>
                </c:pt>
                <c:pt idx="42">
                  <c:v>1.00038144977397</c:v>
                </c:pt>
                <c:pt idx="43">
                  <c:v>1.00039054077311</c:v>
                </c:pt>
                <c:pt idx="44">
                  <c:v>1.00039963218469</c:v>
                </c:pt>
                <c:pt idx="45">
                  <c:v>1.00040872400874</c:v>
                </c:pt>
                <c:pt idx="46">
                  <c:v>1.0004178162452699</c:v>
                </c:pt>
                <c:pt idx="47">
                  <c:v>1.0004269088943001</c:v>
                </c:pt>
                <c:pt idx="48">
                  <c:v>1.00043600195585</c:v>
                </c:pt>
                <c:pt idx="49">
                  <c:v>1.00044509542994</c:v>
                </c:pt>
                <c:pt idx="50">
                  <c:v>1.0004541893165799</c:v>
                </c:pt>
                <c:pt idx="51">
                  <c:v>1.0004632836158001</c:v>
                </c:pt>
                <c:pt idx="52">
                  <c:v>1.0004723783276199</c:v>
                </c:pt>
                <c:pt idx="53">
                  <c:v>1.00048147345204</c:v>
                </c:pt>
                <c:pt idx="54">
                  <c:v>1.0004905689890999</c:v>
                </c:pt>
                <c:pt idx="55">
                  <c:v>1.00049966493881</c:v>
                </c:pt>
                <c:pt idx="56">
                  <c:v>1.00050876130119</c:v>
                </c:pt>
                <c:pt idx="57">
                  <c:v>1.0005178580762599</c:v>
                </c:pt>
                <c:pt idx="58">
                  <c:v>1.0005269552640399</c:v>
                </c:pt>
                <c:pt idx="59">
                  <c:v>1.0005360528645399</c:v>
                </c:pt>
                <c:pt idx="60">
                  <c:v>1.0005451508777801</c:v>
                </c:pt>
                <c:pt idx="61">
                  <c:v>1.00055424930379</c:v>
                </c:pt>
                <c:pt idx="62">
                  <c:v>1.00056334814258</c:v>
                </c:pt>
                <c:pt idx="63">
                  <c:v>1.00057244739417</c:v>
                </c:pt>
                <c:pt idx="64">
                  <c:v>1.0005815470585699</c:v>
                </c:pt>
                <c:pt idx="65">
                  <c:v>1.0005906471358199</c:v>
                </c:pt>
                <c:pt idx="66">
                  <c:v>1.0005997476259201</c:v>
                </c:pt>
                <c:pt idx="67">
                  <c:v>1.0006088485289</c:v>
                </c:pt>
                <c:pt idx="68">
                  <c:v>1.00061794984477</c:v>
                </c:pt>
                <c:pt idx="69">
                  <c:v>1.00062705157356</c:v>
                </c:pt>
                <c:pt idx="70">
                  <c:v>1.0006361537152699</c:v>
                </c:pt>
                <c:pt idx="71">
                  <c:v>1.0006452562699399</c:v>
                </c:pt>
                <c:pt idx="72">
                  <c:v>1.0006543592375701</c:v>
                </c:pt>
                <c:pt idx="73">
                  <c:v>1.0006634626182001</c:v>
                </c:pt>
                <c:pt idx="74">
                  <c:v>1.0006725664118299</c:v>
                </c:pt>
                <c:pt idx="75">
                  <c:v>1.00068167061848</c:v>
                </c:pt>
                <c:pt idx="76">
                  <c:v>1.00069077523818</c:v>
                </c:pt>
                <c:pt idx="77">
                  <c:v>1.0006998802709399</c:v>
                </c:pt>
                <c:pt idx="78">
                  <c:v>1.0007089857167799</c:v>
                </c:pt>
                <c:pt idx="79">
                  <c:v>1.0007180915757199</c:v>
                </c:pt>
                <c:pt idx="80">
                  <c:v>1.0007271978477901</c:v>
                </c:pt>
                <c:pt idx="81">
                  <c:v>1.00073630453298</c:v>
                </c:pt>
                <c:pt idx="82">
                  <c:v>1.0007454116313399</c:v>
                </c:pt>
                <c:pt idx="83">
                  <c:v>1.0007545191428699</c:v>
                </c:pt>
                <c:pt idx="84">
                  <c:v>1.0007636270675899</c:v>
                </c:pt>
                <c:pt idx="85">
                  <c:v>1.00077273540553</c:v>
                </c:pt>
                <c:pt idx="86">
                  <c:v>1.0007818441567</c:v>
                </c:pt>
                <c:pt idx="87">
                  <c:v>1.0007909533211199</c:v>
                </c:pt>
                <c:pt idx="88">
                  <c:v>1.0008000628988001</c:v>
                </c:pt>
                <c:pt idx="89">
                  <c:v>1.0008091728897801</c:v>
                </c:pt>
                <c:pt idx="90">
                  <c:v>1.00081828329406</c:v>
                </c:pt>
                <c:pt idx="91">
                  <c:v>1.0008273941116701</c:v>
                </c:pt>
                <c:pt idx="92">
                  <c:v>1.00083650534262</c:v>
                </c:pt>
                <c:pt idx="93">
                  <c:v>1.00084561698693</c:v>
                </c:pt>
                <c:pt idx="94">
                  <c:v>1.0008547290446199</c:v>
                </c:pt>
                <c:pt idx="95">
                  <c:v>1.0008638415157201</c:v>
                </c:pt>
                <c:pt idx="96">
                  <c:v>1.0008729544002299</c:v>
                </c:pt>
                <c:pt idx="97">
                  <c:v>1.00088206769818</c:v>
                </c:pt>
                <c:pt idx="98">
                  <c:v>1.00089118140959</c:v>
                </c:pt>
                <c:pt idx="99">
                  <c:v>1.0009002955344699</c:v>
                </c:pt>
                <c:pt idx="100">
                  <c:v>1.00090941007284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94B-4947-8A73-F268E4280C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8648952"/>
        <c:axId val="608647872"/>
      </c:scatterChart>
      <c:valAx>
        <c:axId val="608648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8647872"/>
        <c:crosses val="autoZero"/>
        <c:crossBetween val="midCat"/>
      </c:valAx>
      <c:valAx>
        <c:axId val="608647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8648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T80, V14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GaN_Rds!$A$2:$A$102</c:f>
              <c:numCache>
                <c:formatCode>General</c:formatCode>
                <c:ptCount val="10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</c:numCache>
            </c:numRef>
          </c:xVal>
          <c:yVal>
            <c:numRef>
              <c:f>GaN_Rds!$C$2:$C$102</c:f>
              <c:numCache>
                <c:formatCode>General</c:formatCode>
                <c:ptCount val="101"/>
                <c:pt idx="0">
                  <c:v>1</c:v>
                </c:pt>
                <c:pt idx="1">
                  <c:v>1.00001961234333</c:v>
                </c:pt>
                <c:pt idx="2">
                  <c:v>1.0000392266098901</c:v>
                </c:pt>
                <c:pt idx="3">
                  <c:v>1.00005884279986</c:v>
                </c:pt>
                <c:pt idx="4">
                  <c:v>1.0000784609134299</c:v>
                </c:pt>
                <c:pt idx="5">
                  <c:v>1.00009808095078</c:v>
                </c:pt>
                <c:pt idx="6">
                  <c:v>1.0001177029121</c:v>
                </c:pt>
                <c:pt idx="7">
                  <c:v>1.0001373267975899</c:v>
                </c:pt>
                <c:pt idx="8">
                  <c:v>1.0001569526074301</c:v>
                </c:pt>
                <c:pt idx="9">
                  <c:v>1.0001765803418201</c:v>
                </c:pt>
                <c:pt idx="10">
                  <c:v>1.0001962100009301</c:v>
                </c:pt>
                <c:pt idx="11">
                  <c:v>1.00021584158496</c:v>
                </c:pt>
                <c:pt idx="12">
                  <c:v>1.0002354750940901</c:v>
                </c:pt>
                <c:pt idx="13">
                  <c:v>1.00025511052852</c:v>
                </c:pt>
                <c:pt idx="14">
                  <c:v>1.00027474788844</c:v>
                </c:pt>
                <c:pt idx="15">
                  <c:v>1.00029438717403</c:v>
                </c:pt>
                <c:pt idx="16">
                  <c:v>1.0003140283854799</c:v>
                </c:pt>
                <c:pt idx="17">
                  <c:v>1.00033367152298</c:v>
                </c:pt>
                <c:pt idx="18">
                  <c:v>1.00035331658672</c:v>
                </c:pt>
                <c:pt idx="19">
                  <c:v>1.0003729635768901</c:v>
                </c:pt>
                <c:pt idx="20">
                  <c:v>1.0003926124936799</c:v>
                </c:pt>
                <c:pt idx="21">
                  <c:v>1.0004122633372801</c:v>
                </c:pt>
                <c:pt idx="22">
                  <c:v>1.0004319161078701</c:v>
                </c:pt>
                <c:pt idx="23">
                  <c:v>1.0004515708056401</c:v>
                </c:pt>
                <c:pt idx="24">
                  <c:v>1.0004712274307901</c:v>
                </c:pt>
                <c:pt idx="25">
                  <c:v>1.0004908859835</c:v>
                </c:pt>
                <c:pt idx="26">
                  <c:v>1.0005105464639601</c:v>
                </c:pt>
                <c:pt idx="27">
                  <c:v>1.00053020887236</c:v>
                </c:pt>
                <c:pt idx="28">
                  <c:v>1.00054987320889</c:v>
                </c:pt>
                <c:pt idx="29">
                  <c:v>1.0005695394737399</c:v>
                </c:pt>
                <c:pt idx="30">
                  <c:v>1.0005892076670999</c:v>
                </c:pt>
                <c:pt idx="31">
                  <c:v>1.00060887778916</c:v>
                </c:pt>
                <c:pt idx="32">
                  <c:v>1.0006285498401</c:v>
                </c:pt>
                <c:pt idx="33">
                  <c:v>1.00064822382011</c:v>
                </c:pt>
                <c:pt idx="34">
                  <c:v>1.0006678997293901</c:v>
                </c:pt>
                <c:pt idx="35">
                  <c:v>1.0006875775681301</c:v>
                </c:pt>
                <c:pt idx="36">
                  <c:v>1.0007072573364999</c:v>
                </c:pt>
                <c:pt idx="37">
                  <c:v>1.00072693903471</c:v>
                </c:pt>
                <c:pt idx="38">
                  <c:v>1.00074662266294</c:v>
                </c:pt>
                <c:pt idx="39">
                  <c:v>1.00076630822138</c:v>
                </c:pt>
                <c:pt idx="40">
                  <c:v>1.0007859957102201</c:v>
                </c:pt>
                <c:pt idx="41">
                  <c:v>1.0008056851296501</c:v>
                </c:pt>
                <c:pt idx="42">
                  <c:v>1.00082537647985</c:v>
                </c:pt>
                <c:pt idx="43">
                  <c:v>1.00084506976103</c:v>
                </c:pt>
                <c:pt idx="44">
                  <c:v>1.00086476497336</c:v>
                </c:pt>
                <c:pt idx="45">
                  <c:v>1.0008844621170301</c:v>
                </c:pt>
                <c:pt idx="46">
                  <c:v>1.00090416119225</c:v>
                </c:pt>
                <c:pt idx="47">
                  <c:v>1.0009238621991901</c:v>
                </c:pt>
                <c:pt idx="48">
                  <c:v>1.0009435651380401</c:v>
                </c:pt>
                <c:pt idx="49">
                  <c:v>1.0009632700089901</c:v>
                </c:pt>
                <c:pt idx="50">
                  <c:v>1.00098297681224</c:v>
                </c:pt>
                <c:pt idx="51">
                  <c:v>1.0010026855479801</c:v>
                </c:pt>
                <c:pt idx="52">
                  <c:v>1.00102239621638</c:v>
                </c:pt>
                <c:pt idx="53">
                  <c:v>1.00104210881765</c:v>
                </c:pt>
                <c:pt idx="54">
                  <c:v>1.0010618233519699</c:v>
                </c:pt>
                <c:pt idx="55">
                  <c:v>1.0010815398195301</c:v>
                </c:pt>
                <c:pt idx="56">
                  <c:v>1.0011012582205201</c:v>
                </c:pt>
                <c:pt idx="57">
                  <c:v>1.00112097855513</c:v>
                </c:pt>
                <c:pt idx="58">
                  <c:v>1.00114070082355</c:v>
                </c:pt>
                <c:pt idx="59">
                  <c:v>1.00116042502597</c:v>
                </c:pt>
                <c:pt idx="60">
                  <c:v>1.00118015116258</c:v>
                </c:pt>
                <c:pt idx="61">
                  <c:v>1.0011998792335699</c:v>
                </c:pt>
                <c:pt idx="62">
                  <c:v>1.0012196092391299</c:v>
                </c:pt>
                <c:pt idx="63">
                  <c:v>1.00123934117944</c:v>
                </c:pt>
                <c:pt idx="64">
                  <c:v>1.0012590750547099</c:v>
                </c:pt>
                <c:pt idx="65">
                  <c:v>1.0012788108651101</c:v>
                </c:pt>
                <c:pt idx="66">
                  <c:v>1.0012985486108299</c:v>
                </c:pt>
                <c:pt idx="67">
                  <c:v>1.0013182882920799</c:v>
                </c:pt>
                <c:pt idx="68">
                  <c:v>1.00133802990903</c:v>
                </c:pt>
                <c:pt idx="69">
                  <c:v>1.0013577734618799</c:v>
                </c:pt>
                <c:pt idx="70">
                  <c:v>1.0013775189508201</c:v>
                </c:pt>
                <c:pt idx="71">
                  <c:v>1.00139726637603</c:v>
                </c:pt>
                <c:pt idx="72">
                  <c:v>1.00141701573771</c:v>
                </c:pt>
                <c:pt idx="73">
                  <c:v>1.00143676703604</c:v>
                </c:pt>
                <c:pt idx="74">
                  <c:v>1.00145652027123</c:v>
                </c:pt>
                <c:pt idx="75">
                  <c:v>1.0014762754434401</c:v>
                </c:pt>
                <c:pt idx="76">
                  <c:v>1.0014960325528901</c:v>
                </c:pt>
                <c:pt idx="77">
                  <c:v>1.0015157915997499</c:v>
                </c:pt>
                <c:pt idx="78">
                  <c:v>1.00153555258421</c:v>
                </c:pt>
                <c:pt idx="79">
                  <c:v>1.00155531550647</c:v>
                </c:pt>
                <c:pt idx="80">
                  <c:v>1.00157508036672</c:v>
                </c:pt>
                <c:pt idx="81">
                  <c:v>1.0015948471651499</c:v>
                </c:pt>
                <c:pt idx="82">
                  <c:v>1.0016146159019399</c:v>
                </c:pt>
                <c:pt idx="83">
                  <c:v>1.0016343865772801</c:v>
                </c:pt>
                <c:pt idx="84">
                  <c:v>1.0016541591913799</c:v>
                </c:pt>
                <c:pt idx="85">
                  <c:v>1.00167393374441</c:v>
                </c:pt>
                <c:pt idx="86">
                  <c:v>1.00169371023656</c:v>
                </c:pt>
                <c:pt idx="87">
                  <c:v>1.0017134886680299</c:v>
                </c:pt>
                <c:pt idx="88">
                  <c:v>1.0017332690390099</c:v>
                </c:pt>
                <c:pt idx="89">
                  <c:v>1.0017530513496899</c:v>
                </c:pt>
                <c:pt idx="90">
                  <c:v>1.00177283560026</c:v>
                </c:pt>
                <c:pt idx="91">
                  <c:v>1.0017926217908999</c:v>
                </c:pt>
                <c:pt idx="92">
                  <c:v>1.00181240992181</c:v>
                </c:pt>
                <c:pt idx="93">
                  <c:v>1.0018321999931701</c:v>
                </c:pt>
                <c:pt idx="94">
                  <c:v>1.00185199200519</c:v>
                </c:pt>
                <c:pt idx="95">
                  <c:v>1.0018717859580499</c:v>
                </c:pt>
                <c:pt idx="96">
                  <c:v>1.0018915818519301</c:v>
                </c:pt>
                <c:pt idx="97">
                  <c:v>1.00191137968703</c:v>
                </c:pt>
                <c:pt idx="98">
                  <c:v>1.0019311794635399</c:v>
                </c:pt>
                <c:pt idx="99">
                  <c:v>1.00195098118166</c:v>
                </c:pt>
                <c:pt idx="100">
                  <c:v>1.00197078484156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DA8-44B5-9BDA-090FFEAEC1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8659392"/>
        <c:axId val="608659752"/>
      </c:scatterChart>
      <c:valAx>
        <c:axId val="6086593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8659752"/>
        <c:crosses val="autoZero"/>
        <c:crossBetween val="midCat"/>
      </c:valAx>
      <c:valAx>
        <c:axId val="608659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86593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T80, V16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GaN_Rds!$A$2:$A$102</c:f>
              <c:numCache>
                <c:formatCode>General</c:formatCode>
                <c:ptCount val="10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</c:numCache>
            </c:numRef>
          </c:xVal>
          <c:yVal>
            <c:numRef>
              <c:f>GaN_Rds!$D$2:$D$102</c:f>
              <c:numCache>
                <c:formatCode>General</c:formatCode>
                <c:ptCount val="101"/>
                <c:pt idx="0">
                  <c:v>1</c:v>
                </c:pt>
                <c:pt idx="1">
                  <c:v>1.0000382392568801</c:v>
                </c:pt>
                <c:pt idx="2">
                  <c:v>1.00007648582497</c:v>
                </c:pt>
                <c:pt idx="3">
                  <c:v>1.00011473970565</c:v>
                </c:pt>
                <c:pt idx="4">
                  <c:v>1.0001530009003401</c:v>
                </c:pt>
                <c:pt idx="5">
                  <c:v>1.00019126941043</c:v>
                </c:pt>
                <c:pt idx="6">
                  <c:v>1.00022954523731</c:v>
                </c:pt>
                <c:pt idx="7">
                  <c:v>1.00026782838239</c:v>
                </c:pt>
                <c:pt idx="8">
                  <c:v>1.0003061188470701</c:v>
                </c:pt>
                <c:pt idx="9">
                  <c:v>1.00034441663274</c:v>
                </c:pt>
                <c:pt idx="10">
                  <c:v>1.0003827217407999</c:v>
                </c:pt>
                <c:pt idx="11">
                  <c:v>1.00042103417266</c:v>
                </c:pt>
                <c:pt idx="12">
                  <c:v>1.00045935392971</c:v>
                </c:pt>
                <c:pt idx="13">
                  <c:v>1.0004976810133599</c:v>
                </c:pt>
                <c:pt idx="14">
                  <c:v>1.00053601542501</c:v>
                </c:pt>
                <c:pt idx="15">
                  <c:v>1.0005743571660499</c:v>
                </c:pt>
                <c:pt idx="16">
                  <c:v>1.00061270623789</c:v>
                </c:pt>
                <c:pt idx="17">
                  <c:v>1.00065106264193</c:v>
                </c:pt>
                <c:pt idx="18">
                  <c:v>1.00068942637957</c:v>
                </c:pt>
                <c:pt idx="19">
                  <c:v>1.00072779745221</c:v>
                </c:pt>
                <c:pt idx="20">
                  <c:v>1.00076617586126</c:v>
                </c:pt>
                <c:pt idx="21">
                  <c:v>1.00080456160813</c:v>
                </c:pt>
                <c:pt idx="22">
                  <c:v>1.0008429546941999</c:v>
                </c:pt>
                <c:pt idx="23">
                  <c:v>1.0008813551208899</c:v>
                </c:pt>
                <c:pt idx="24">
                  <c:v>1.0009197628896001</c:v>
                </c:pt>
                <c:pt idx="25">
                  <c:v>1.00095817800173</c:v>
                </c:pt>
                <c:pt idx="26">
                  <c:v>1.0009966004586801</c:v>
                </c:pt>
                <c:pt idx="27">
                  <c:v>1.00103503026187</c:v>
                </c:pt>
                <c:pt idx="28">
                  <c:v>1.0010734674127</c:v>
                </c:pt>
                <c:pt idx="29">
                  <c:v>1.00111191191256</c:v>
                </c:pt>
                <c:pt idx="30">
                  <c:v>1.00115036376287</c:v>
                </c:pt>
                <c:pt idx="31">
                  <c:v>1.0011888229650301</c:v>
                </c:pt>
                <c:pt idx="32">
                  <c:v>1.0012272895204499</c:v>
                </c:pt>
                <c:pt idx="33">
                  <c:v>1.00126576343053</c:v>
                </c:pt>
                <c:pt idx="34">
                  <c:v>1.00130424469667</c:v>
                </c:pt>
                <c:pt idx="35">
                  <c:v>1.0013427333203</c:v>
                </c:pt>
                <c:pt idx="36">
                  <c:v>1.0013812293027999</c:v>
                </c:pt>
                <c:pt idx="37">
                  <c:v>1.0014197326456</c:v>
                </c:pt>
                <c:pt idx="38">
                  <c:v>1.00145824335009</c:v>
                </c:pt>
                <c:pt idx="39">
                  <c:v>1.00149676141768</c:v>
                </c:pt>
                <c:pt idx="40">
                  <c:v>1.00153528684979</c:v>
                </c:pt>
                <c:pt idx="41">
                  <c:v>1.0015738196478099</c:v>
                </c:pt>
                <c:pt idx="42">
                  <c:v>1.0016123598131601</c:v>
                </c:pt>
                <c:pt idx="43">
                  <c:v>1.0016509073472499</c:v>
                </c:pt>
                <c:pt idx="44">
                  <c:v>1.00168946225149</c:v>
                </c:pt>
                <c:pt idx="45">
                  <c:v>1.0017280245272699</c:v>
                </c:pt>
                <c:pt idx="46">
                  <c:v>1.0017665941760301</c:v>
                </c:pt>
                <c:pt idx="47">
                  <c:v>1.00180517119915</c:v>
                </c:pt>
                <c:pt idx="48">
                  <c:v>1.0018437555980599</c:v>
                </c:pt>
                <c:pt idx="49">
                  <c:v>1.00188234737417</c:v>
                </c:pt>
                <c:pt idx="50">
                  <c:v>1.0019209465288701</c:v>
                </c:pt>
                <c:pt idx="51">
                  <c:v>1.0019595530635901</c:v>
                </c:pt>
                <c:pt idx="52">
                  <c:v>1.00199816697974</c:v>
                </c:pt>
                <c:pt idx="53">
                  <c:v>1.00203678827873</c:v>
                </c:pt>
                <c:pt idx="54">
                  <c:v>1.0020754169619599</c:v>
                </c:pt>
                <c:pt idx="55">
                  <c:v>1.0021140530308601</c:v>
                </c:pt>
                <c:pt idx="56">
                  <c:v>1.0021526964868299</c:v>
                </c:pt>
                <c:pt idx="57">
                  <c:v>1.00219134733128</c:v>
                </c:pt>
                <c:pt idx="58">
                  <c:v>1.0022300055656299</c:v>
                </c:pt>
                <c:pt idx="59">
                  <c:v>1.00226867119129</c:v>
                </c:pt>
                <c:pt idx="60">
                  <c:v>1.0023073442096799</c:v>
                </c:pt>
                <c:pt idx="61">
                  <c:v>1.0023460246222</c:v>
                </c:pt>
                <c:pt idx="62">
                  <c:v>1.00238471243028</c:v>
                </c:pt>
                <c:pt idx="63">
                  <c:v>1.00242340763531</c:v>
                </c:pt>
                <c:pt idx="64">
                  <c:v>1.0024621102387301</c:v>
                </c:pt>
                <c:pt idx="65">
                  <c:v>1.0025008202419501</c:v>
                </c:pt>
                <c:pt idx="66">
                  <c:v>1.0025395376463699</c:v>
                </c:pt>
                <c:pt idx="67">
                  <c:v>1.0025782624534101</c:v>
                </c:pt>
                <c:pt idx="68">
                  <c:v>1.0026169946645</c:v>
                </c:pt>
                <c:pt idx="69">
                  <c:v>1.00265573428104</c:v>
                </c:pt>
                <c:pt idx="70">
                  <c:v>1.00269448130445</c:v>
                </c:pt>
                <c:pt idx="71">
                  <c:v>1.00273323573615</c:v>
                </c:pt>
                <c:pt idx="72">
                  <c:v>1.00277199757755</c:v>
                </c:pt>
                <c:pt idx="73">
                  <c:v>1.0028107668300701</c:v>
                </c:pt>
                <c:pt idx="74">
                  <c:v>1.0028495434951199</c:v>
                </c:pt>
                <c:pt idx="75">
                  <c:v>1.00288832757414</c:v>
                </c:pt>
                <c:pt idx="76">
                  <c:v>1.0029271190685201</c:v>
                </c:pt>
                <c:pt idx="77">
                  <c:v>1.0029659179796899</c:v>
                </c:pt>
                <c:pt idx="78">
                  <c:v>1.0030047243090701</c:v>
                </c:pt>
                <c:pt idx="79">
                  <c:v>1.00304353805808</c:v>
                </c:pt>
                <c:pt idx="80">
                  <c:v>1.0030823592281299</c:v>
                </c:pt>
                <c:pt idx="81">
                  <c:v>1.0031211878206501</c:v>
                </c:pt>
                <c:pt idx="82">
                  <c:v>1.0031600238370499</c:v>
                </c:pt>
                <c:pt idx="83">
                  <c:v>1.00319886727875</c:v>
                </c:pt>
                <c:pt idx="84">
                  <c:v>1.0032377181471701</c:v>
                </c:pt>
                <c:pt idx="85">
                  <c:v>1.0032765764437299</c:v>
                </c:pt>
                <c:pt idx="86">
                  <c:v>1.00331544216985</c:v>
                </c:pt>
                <c:pt idx="87">
                  <c:v>1.00335431532696</c:v>
                </c:pt>
                <c:pt idx="88">
                  <c:v>1.0033931959164699</c:v>
                </c:pt>
                <c:pt idx="89">
                  <c:v>1.0034320839398101</c:v>
                </c:pt>
                <c:pt idx="90">
                  <c:v>1.00347097939839</c:v>
                </c:pt>
                <c:pt idx="91">
                  <c:v>1.0035098822936399</c:v>
                </c:pt>
                <c:pt idx="92">
                  <c:v>1.0035487926269699</c:v>
                </c:pt>
                <c:pt idx="93">
                  <c:v>1.0035877103998201</c:v>
                </c:pt>
                <c:pt idx="94">
                  <c:v>1.0036266356136001</c:v>
                </c:pt>
                <c:pt idx="95">
                  <c:v>1.00366556826974</c:v>
                </c:pt>
                <c:pt idx="96">
                  <c:v>1.0037045083696601</c:v>
                </c:pt>
                <c:pt idx="97">
                  <c:v>1.00374345591478</c:v>
                </c:pt>
                <c:pt idx="98">
                  <c:v>1.0037824109065201</c:v>
                </c:pt>
                <c:pt idx="99">
                  <c:v>1.0038213733463199</c:v>
                </c:pt>
                <c:pt idx="100">
                  <c:v>1.0038603432355799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800-4C1A-9759-50CE1F991A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1903496"/>
        <c:axId val="611903856"/>
      </c:scatterChart>
      <c:valAx>
        <c:axId val="6119034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1903856"/>
        <c:crosses val="autoZero"/>
        <c:crossBetween val="midCat"/>
      </c:valAx>
      <c:valAx>
        <c:axId val="611903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19034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T80, V18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GaN_Rds!$A$2:$A$102</c:f>
              <c:numCache>
                <c:formatCode>General</c:formatCode>
                <c:ptCount val="10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</c:numCache>
            </c:numRef>
          </c:xVal>
          <c:yVal>
            <c:numRef>
              <c:f>GaN_Rds!$E$2:$E$102</c:f>
              <c:numCache>
                <c:formatCode>General</c:formatCode>
                <c:ptCount val="101"/>
                <c:pt idx="0">
                  <c:v>1</c:v>
                </c:pt>
                <c:pt idx="1">
                  <c:v>1.00006891366589</c:v>
                </c:pt>
                <c:pt idx="2">
                  <c:v>1.0001378510772501</c:v>
                </c:pt>
                <c:pt idx="3">
                  <c:v>1.0002068122422501</c:v>
                </c:pt>
                <c:pt idx="4">
                  <c:v>1.0002757971691001</c:v>
                </c:pt>
                <c:pt idx="5">
                  <c:v>1.0003448058659601</c:v>
                </c:pt>
                <c:pt idx="6">
                  <c:v>1.0004138383410299</c:v>
                </c:pt>
                <c:pt idx="7">
                  <c:v>1.0004828946025099</c:v>
                </c:pt>
                <c:pt idx="8">
                  <c:v>1.00055197465859</c:v>
                </c:pt>
                <c:pt idx="9">
                  <c:v>1.0006210785174701</c:v>
                </c:pt>
                <c:pt idx="10">
                  <c:v>1.0006902061873499</c:v>
                </c:pt>
                <c:pt idx="11">
                  <c:v>1.00075935767643</c:v>
                </c:pt>
                <c:pt idx="12">
                  <c:v>1.0008285329929301</c:v>
                </c:pt>
                <c:pt idx="13">
                  <c:v>1.0008977321450501</c:v>
                </c:pt>
                <c:pt idx="14">
                  <c:v>1.0009669551410101</c:v>
                </c:pt>
                <c:pt idx="15">
                  <c:v>1.00103620198902</c:v>
                </c:pt>
                <c:pt idx="16">
                  <c:v>1.0011054726973001</c:v>
                </c:pt>
                <c:pt idx="17">
                  <c:v>1.0011747672740701</c:v>
                </c:pt>
                <c:pt idx="18">
                  <c:v>1.00124408572756</c:v>
                </c:pt>
                <c:pt idx="19">
                  <c:v>1.0013134280660001</c:v>
                </c:pt>
                <c:pt idx="20">
                  <c:v>1.0013827942975999</c:v>
                </c:pt>
                <c:pt idx="21">
                  <c:v>1.0014521844306199</c:v>
                </c:pt>
                <c:pt idx="22">
                  <c:v>1.0015215984732699</c:v>
                </c:pt>
                <c:pt idx="23">
                  <c:v>1.0015910364338101</c:v>
                </c:pt>
                <c:pt idx="24">
                  <c:v>1.00166049832047</c:v>
                </c:pt>
                <c:pt idx="25">
                  <c:v>1.0017299841414899</c:v>
                </c:pt>
                <c:pt idx="26">
                  <c:v>1.00179949390513</c:v>
                </c:pt>
                <c:pt idx="27">
                  <c:v>1.00186902761963</c:v>
                </c:pt>
                <c:pt idx="28">
                  <c:v>1.0019385852932501</c:v>
                </c:pt>
                <c:pt idx="29">
                  <c:v>1.00200816693424</c:v>
                </c:pt>
                <c:pt idx="30">
                  <c:v>1.0020777725508501</c:v>
                </c:pt>
                <c:pt idx="31">
                  <c:v>1.0021474021513599</c:v>
                </c:pt>
                <c:pt idx="32">
                  <c:v>1.00221705574403</c:v>
                </c:pt>
                <c:pt idx="33">
                  <c:v>1.0022867333371099</c:v>
                </c:pt>
                <c:pt idx="34">
                  <c:v>1.00235643493889</c:v>
                </c:pt>
                <c:pt idx="35">
                  <c:v>1.0024261605576399</c:v>
                </c:pt>
                <c:pt idx="36">
                  <c:v>1.00249591020162</c:v>
                </c:pt>
                <c:pt idx="37">
                  <c:v>1.0025656838791199</c:v>
                </c:pt>
                <c:pt idx="38">
                  <c:v>1.00263548159842</c:v>
                </c:pt>
                <c:pt idx="39">
                  <c:v>1.0027053033677999</c:v>
                </c:pt>
                <c:pt idx="40">
                  <c:v>1.0027751491955601</c:v>
                </c:pt>
                <c:pt idx="41">
                  <c:v>1.00284501908997</c:v>
                </c:pt>
                <c:pt idx="42">
                  <c:v>1.00291491305934</c:v>
                </c:pt>
                <c:pt idx="43">
                  <c:v>1.00298483111196</c:v>
                </c:pt>
                <c:pt idx="44">
                  <c:v>1.0030547732561199</c:v>
                </c:pt>
                <c:pt idx="45">
                  <c:v>1.0031247395001299</c:v>
                </c:pt>
                <c:pt idx="46">
                  <c:v>1.0031947298522901</c:v>
                </c:pt>
                <c:pt idx="47">
                  <c:v>1.00326474432091</c:v>
                </c:pt>
                <c:pt idx="48">
                  <c:v>1.0033347829143</c:v>
                </c:pt>
                <c:pt idx="49">
                  <c:v>1.00340484564077</c:v>
                </c:pt>
                <c:pt idx="50">
                  <c:v>1.0034749325086401</c:v>
                </c:pt>
                <c:pt idx="51">
                  <c:v>1.0035450435262201</c:v>
                </c:pt>
                <c:pt idx="52">
                  <c:v>1.0036151787018399</c:v>
                </c:pt>
                <c:pt idx="53">
                  <c:v>1.00368533804382</c:v>
                </c:pt>
                <c:pt idx="54">
                  <c:v>1.0037555215604801</c:v>
                </c:pt>
                <c:pt idx="55">
                  <c:v>1.00382572926016</c:v>
                </c:pt>
                <c:pt idx="56">
                  <c:v>1.0038959611511999</c:v>
                </c:pt>
                <c:pt idx="57">
                  <c:v>1.0039662172419099</c:v>
                </c:pt>
                <c:pt idx="58">
                  <c:v>1.0040364975406599</c:v>
                </c:pt>
                <c:pt idx="59">
                  <c:v>1.00410680205576</c:v>
                </c:pt>
                <c:pt idx="60">
                  <c:v>1.00417713079558</c:v>
                </c:pt>
                <c:pt idx="61">
                  <c:v>1.0042474837684501</c:v>
                </c:pt>
                <c:pt idx="62">
                  <c:v>1.0043178609827299</c:v>
                </c:pt>
                <c:pt idx="63">
                  <c:v>1.0043882624467699</c:v>
                </c:pt>
                <c:pt idx="64">
                  <c:v>1.0044586881689199</c:v>
                </c:pt>
                <c:pt idx="65">
                  <c:v>1.0045291381575501</c:v>
                </c:pt>
                <c:pt idx="66">
                  <c:v>1.0045996124210099</c:v>
                </c:pt>
                <c:pt idx="67">
                  <c:v>1.0046701109676699</c:v>
                </c:pt>
                <c:pt idx="68">
                  <c:v>1.0047406338059</c:v>
                </c:pt>
                <c:pt idx="69">
                  <c:v>1.0048111809440601</c:v>
                </c:pt>
                <c:pt idx="70">
                  <c:v>1.00488175239053</c:v>
                </c:pt>
                <c:pt idx="71">
                  <c:v>1.0049523481536899</c:v>
                </c:pt>
                <c:pt idx="72">
                  <c:v>1.0050229682419101</c:v>
                </c:pt>
                <c:pt idx="73">
                  <c:v>1.0050936126635801</c:v>
                </c:pt>
                <c:pt idx="74">
                  <c:v>1.00516428142708</c:v>
                </c:pt>
                <c:pt idx="75">
                  <c:v>1.0052349745408</c:v>
                </c:pt>
                <c:pt idx="76">
                  <c:v>1.00530569201312</c:v>
                </c:pt>
                <c:pt idx="77">
                  <c:v>1.00537643385245</c:v>
                </c:pt>
                <c:pt idx="78">
                  <c:v>1.0054472000671699</c:v>
                </c:pt>
                <c:pt idx="79">
                  <c:v>1.0055179906656899</c:v>
                </c:pt>
                <c:pt idx="80">
                  <c:v>1.00558880565641</c:v>
                </c:pt>
                <c:pt idx="81">
                  <c:v>1.00565964504773</c:v>
                </c:pt>
                <c:pt idx="82">
                  <c:v>1.0057305088480599</c:v>
                </c:pt>
                <c:pt idx="83">
                  <c:v>1.0058013970658199</c:v>
                </c:pt>
                <c:pt idx="84">
                  <c:v>1.0058723097094</c:v>
                </c:pt>
                <c:pt idx="85">
                  <c:v>1.00594324678724</c:v>
                </c:pt>
                <c:pt idx="86">
                  <c:v>1.0060142083077499</c:v>
                </c:pt>
                <c:pt idx="87">
                  <c:v>1.0060851942793501</c:v>
                </c:pt>
                <c:pt idx="88">
                  <c:v>1.00615620471047</c:v>
                </c:pt>
                <c:pt idx="89">
                  <c:v>1.00622723960954</c:v>
                </c:pt>
                <c:pt idx="90">
                  <c:v>1.00629829898498</c:v>
                </c:pt>
                <c:pt idx="91">
                  <c:v>1.00636938284523</c:v>
                </c:pt>
                <c:pt idx="92">
                  <c:v>1.0064404911987299</c:v>
                </c:pt>
                <c:pt idx="93">
                  <c:v>1.00651162405392</c:v>
                </c:pt>
                <c:pt idx="94">
                  <c:v>1.0065827814192301</c:v>
                </c:pt>
                <c:pt idx="95">
                  <c:v>1.00665396330312</c:v>
                </c:pt>
                <c:pt idx="96">
                  <c:v>1.00672516971403</c:v>
                </c:pt>
                <c:pt idx="97">
                  <c:v>1.00679640066042</c:v>
                </c:pt>
                <c:pt idx="98">
                  <c:v>1.0068676561507299</c:v>
                </c:pt>
                <c:pt idx="99">
                  <c:v>1.00693893619343</c:v>
                </c:pt>
                <c:pt idx="100">
                  <c:v>1.0070102407969801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20B-4149-87EB-DD79531B78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9494312"/>
        <c:axId val="559497912"/>
      </c:scatterChart>
      <c:valAx>
        <c:axId val="559494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9497912"/>
        <c:crosses val="autoZero"/>
        <c:crossBetween val="midCat"/>
      </c:valAx>
      <c:valAx>
        <c:axId val="559497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94943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T-20, V16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517182801129451"/>
          <c:y val="0.19459084604715673"/>
          <c:w val="0.82063269788069493"/>
          <c:h val="0.72127476783848621"/>
        </c:manualLayout>
      </c:layout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GaN_Rds!$A$2:$A$102</c:f>
              <c:numCache>
                <c:formatCode>General</c:formatCode>
                <c:ptCount val="10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</c:numCache>
            </c:numRef>
          </c:xVal>
          <c:yVal>
            <c:numRef>
              <c:f>GaN_Rds!$F$2:$F$102</c:f>
              <c:numCache>
                <c:formatCode>General</c:formatCode>
                <c:ptCount val="101"/>
                <c:pt idx="0">
                  <c:v>1</c:v>
                </c:pt>
                <c:pt idx="1">
                  <c:v>1.0000005214877501</c:v>
                </c:pt>
                <c:pt idx="2">
                  <c:v>1.00000104297551</c:v>
                </c:pt>
                <c:pt idx="3">
                  <c:v>1.00000156446327</c:v>
                </c:pt>
                <c:pt idx="4">
                  <c:v>1.0000020859510299</c:v>
                </c:pt>
                <c:pt idx="5">
                  <c:v>1.00000260743879</c:v>
                </c:pt>
                <c:pt idx="6">
                  <c:v>1.0000031289265501</c:v>
                </c:pt>
                <c:pt idx="7">
                  <c:v>1.0000036504143099</c:v>
                </c:pt>
                <c:pt idx="8">
                  <c:v>1.00000417190207</c:v>
                </c:pt>
                <c:pt idx="9">
                  <c:v>1.0000046933898299</c:v>
                </c:pt>
                <c:pt idx="10">
                  <c:v>1.00000521487759</c:v>
                </c:pt>
                <c:pt idx="11">
                  <c:v>1.0000057363653501</c:v>
                </c:pt>
                <c:pt idx="12">
                  <c:v>1.0000062578531099</c:v>
                </c:pt>
                <c:pt idx="13">
                  <c:v>1.00000677934087</c:v>
                </c:pt>
                <c:pt idx="14">
                  <c:v>1.0000073008286201</c:v>
                </c:pt>
                <c:pt idx="15">
                  <c:v>1.00000782231638</c:v>
                </c:pt>
                <c:pt idx="16">
                  <c:v>1.0000083438041401</c:v>
                </c:pt>
                <c:pt idx="17">
                  <c:v>1.0000088652918999</c:v>
                </c:pt>
                <c:pt idx="18">
                  <c:v>1.00000938677966</c:v>
                </c:pt>
                <c:pt idx="19">
                  <c:v>1.0000099082674201</c:v>
                </c:pt>
                <c:pt idx="20">
                  <c:v>1.00001042975518</c:v>
                </c:pt>
                <c:pt idx="21">
                  <c:v>1.00001095124294</c:v>
                </c:pt>
                <c:pt idx="22">
                  <c:v>1.0000114727306999</c:v>
                </c:pt>
                <c:pt idx="23">
                  <c:v>1.00001199421846</c:v>
                </c:pt>
                <c:pt idx="24">
                  <c:v>1.0000125157062201</c:v>
                </c:pt>
                <c:pt idx="25">
                  <c:v>1.0000130371939799</c:v>
                </c:pt>
                <c:pt idx="26">
                  <c:v>1.00001355868174</c:v>
                </c:pt>
                <c:pt idx="27">
                  <c:v>1.0000140801694899</c:v>
                </c:pt>
                <c:pt idx="28">
                  <c:v>1.00001460165725</c:v>
                </c:pt>
                <c:pt idx="29">
                  <c:v>1.0000151231450101</c:v>
                </c:pt>
                <c:pt idx="30">
                  <c:v>1.0000156446327699</c:v>
                </c:pt>
                <c:pt idx="31">
                  <c:v>1.00001616612053</c:v>
                </c:pt>
                <c:pt idx="32">
                  <c:v>1.0000166876082901</c:v>
                </c:pt>
                <c:pt idx="33">
                  <c:v>1.00001720909605</c:v>
                </c:pt>
                <c:pt idx="34">
                  <c:v>1.00001773058381</c:v>
                </c:pt>
                <c:pt idx="35">
                  <c:v>1.0000182520715699</c:v>
                </c:pt>
                <c:pt idx="36">
                  <c:v>1.00001877355933</c:v>
                </c:pt>
                <c:pt idx="37">
                  <c:v>1.0000192950470901</c:v>
                </c:pt>
                <c:pt idx="38">
                  <c:v>1.0000198165348499</c:v>
                </c:pt>
                <c:pt idx="39">
                  <c:v>1.00002033802261</c:v>
                </c:pt>
                <c:pt idx="40">
                  <c:v>1.0000208595103599</c:v>
                </c:pt>
                <c:pt idx="41">
                  <c:v>1.00002138099812</c:v>
                </c:pt>
                <c:pt idx="42">
                  <c:v>1.0000219024858801</c:v>
                </c:pt>
                <c:pt idx="43">
                  <c:v>1.0000224239736399</c:v>
                </c:pt>
                <c:pt idx="44">
                  <c:v>1.0000229454614</c:v>
                </c:pt>
                <c:pt idx="45">
                  <c:v>1.0000234669491599</c:v>
                </c:pt>
                <c:pt idx="46">
                  <c:v>1.00002398843692</c:v>
                </c:pt>
                <c:pt idx="47">
                  <c:v>1.0000245099246801</c:v>
                </c:pt>
                <c:pt idx="48">
                  <c:v>1.0000250314124399</c:v>
                </c:pt>
                <c:pt idx="49">
                  <c:v>1.0000255529002</c:v>
                </c:pt>
                <c:pt idx="50">
                  <c:v>1.0000260743879601</c:v>
                </c:pt>
                <c:pt idx="51">
                  <c:v>1.00002659587572</c:v>
                </c:pt>
                <c:pt idx="52">
                  <c:v>1.00002711736348</c:v>
                </c:pt>
                <c:pt idx="53">
                  <c:v>1.0000276388512299</c:v>
                </c:pt>
                <c:pt idx="54">
                  <c:v>1.00002816033899</c:v>
                </c:pt>
                <c:pt idx="55">
                  <c:v>1.0000286818267501</c:v>
                </c:pt>
                <c:pt idx="56">
                  <c:v>1.00002920331451</c:v>
                </c:pt>
                <c:pt idx="57">
                  <c:v>1.00002972480227</c:v>
                </c:pt>
                <c:pt idx="58">
                  <c:v>1.0000302462900299</c:v>
                </c:pt>
                <c:pt idx="59">
                  <c:v>1.00003076777779</c:v>
                </c:pt>
                <c:pt idx="60">
                  <c:v>1.0000312892655501</c:v>
                </c:pt>
                <c:pt idx="61">
                  <c:v>1.0000318107533099</c:v>
                </c:pt>
                <c:pt idx="62">
                  <c:v>1.00003233224107</c:v>
                </c:pt>
                <c:pt idx="63">
                  <c:v>1.0000328537288301</c:v>
                </c:pt>
                <c:pt idx="64">
                  <c:v>1.00003337521659</c:v>
                </c:pt>
                <c:pt idx="65">
                  <c:v>1.0000338967043501</c:v>
                </c:pt>
                <c:pt idx="66">
                  <c:v>1.0000344181921099</c:v>
                </c:pt>
                <c:pt idx="67">
                  <c:v>1.00003493967986</c:v>
                </c:pt>
                <c:pt idx="68">
                  <c:v>1.0000354611676201</c:v>
                </c:pt>
                <c:pt idx="69">
                  <c:v>1.00003598265538</c:v>
                </c:pt>
                <c:pt idx="70">
                  <c:v>1.00003650414314</c:v>
                </c:pt>
                <c:pt idx="71">
                  <c:v>1.0000370256308999</c:v>
                </c:pt>
                <c:pt idx="72">
                  <c:v>1.00003754711866</c:v>
                </c:pt>
                <c:pt idx="73">
                  <c:v>1.0000380686064201</c:v>
                </c:pt>
                <c:pt idx="74">
                  <c:v>1.0000385900941799</c:v>
                </c:pt>
                <c:pt idx="75">
                  <c:v>1.00003911158194</c:v>
                </c:pt>
                <c:pt idx="76">
                  <c:v>1.0000396330696999</c:v>
                </c:pt>
                <c:pt idx="77">
                  <c:v>1.00004015455746</c:v>
                </c:pt>
                <c:pt idx="78">
                  <c:v>1.0000406760452201</c:v>
                </c:pt>
                <c:pt idx="79">
                  <c:v>1.0000411975329799</c:v>
                </c:pt>
                <c:pt idx="80">
                  <c:v>1.00004171902073</c:v>
                </c:pt>
                <c:pt idx="81">
                  <c:v>1.0000422405084901</c:v>
                </c:pt>
                <c:pt idx="82">
                  <c:v>1.00004276199625</c:v>
                </c:pt>
                <c:pt idx="83">
                  <c:v>1.0000432834840101</c:v>
                </c:pt>
                <c:pt idx="84">
                  <c:v>1.0000438049717699</c:v>
                </c:pt>
                <c:pt idx="85">
                  <c:v>1.00004432645953</c:v>
                </c:pt>
                <c:pt idx="86">
                  <c:v>1.0000448479472901</c:v>
                </c:pt>
                <c:pt idx="87">
                  <c:v>1.00004536943505</c:v>
                </c:pt>
                <c:pt idx="88">
                  <c:v>1.00004589092281</c:v>
                </c:pt>
                <c:pt idx="89">
                  <c:v>1.0000464124105699</c:v>
                </c:pt>
                <c:pt idx="90">
                  <c:v>1.00004693389833</c:v>
                </c:pt>
                <c:pt idx="91">
                  <c:v>1.0000474553860901</c:v>
                </c:pt>
                <c:pt idx="92">
                  <c:v>1.0000479768738499</c:v>
                </c:pt>
                <c:pt idx="93">
                  <c:v>1.0000484983616</c:v>
                </c:pt>
                <c:pt idx="94">
                  <c:v>1.0000490198493599</c:v>
                </c:pt>
                <c:pt idx="95">
                  <c:v>1.00004954133712</c:v>
                </c:pt>
                <c:pt idx="96">
                  <c:v>1.0000500628248801</c:v>
                </c:pt>
                <c:pt idx="97">
                  <c:v>1.0000505843126399</c:v>
                </c:pt>
                <c:pt idx="98">
                  <c:v>1.0000511058004</c:v>
                </c:pt>
                <c:pt idx="99">
                  <c:v>1.0000516272881601</c:v>
                </c:pt>
                <c:pt idx="100">
                  <c:v>1.00005214877592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BD1-4B6A-9249-3EDF67B91E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1911416"/>
        <c:axId val="559501872"/>
      </c:scatterChart>
      <c:valAx>
        <c:axId val="611911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9501872"/>
        <c:crosses val="autoZero"/>
        <c:crossBetween val="midCat"/>
      </c:valAx>
      <c:valAx>
        <c:axId val="559501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19114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T25, V16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GaN_Rds!$A$2:$A$102</c:f>
              <c:numCache>
                <c:formatCode>General</c:formatCode>
                <c:ptCount val="10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</c:numCache>
            </c:numRef>
          </c:xVal>
          <c:yVal>
            <c:numRef>
              <c:f>GaN_Rds!$G$2:$G$102</c:f>
              <c:numCache>
                <c:formatCode>General</c:formatCode>
                <c:ptCount val="101"/>
                <c:pt idx="0">
                  <c:v>1</c:v>
                </c:pt>
                <c:pt idx="1">
                  <c:v>1.00000521487759</c:v>
                </c:pt>
                <c:pt idx="2">
                  <c:v>1.00001042975518</c:v>
                </c:pt>
                <c:pt idx="3">
                  <c:v>1.0000156446327699</c:v>
                </c:pt>
                <c:pt idx="4">
                  <c:v>1.0000208595103599</c:v>
                </c:pt>
                <c:pt idx="5">
                  <c:v>1.0000260743879601</c:v>
                </c:pt>
                <c:pt idx="6">
                  <c:v>1.0000312892655501</c:v>
                </c:pt>
                <c:pt idx="7">
                  <c:v>1.00003650414314</c:v>
                </c:pt>
                <c:pt idx="8">
                  <c:v>1.00004171902073</c:v>
                </c:pt>
                <c:pt idx="9">
                  <c:v>1.00004693389833</c:v>
                </c:pt>
                <c:pt idx="10">
                  <c:v>1.00005214877592</c:v>
                </c:pt>
                <c:pt idx="11">
                  <c:v>1.0000573636535099</c:v>
                </c:pt>
                <c:pt idx="12">
                  <c:v>1.0000625785310999</c:v>
                </c:pt>
                <c:pt idx="13">
                  <c:v>1.0000677934086999</c:v>
                </c:pt>
                <c:pt idx="14">
                  <c:v>1.0000730082862901</c:v>
                </c:pt>
                <c:pt idx="15">
                  <c:v>1.0000782231638801</c:v>
                </c:pt>
                <c:pt idx="16">
                  <c:v>1.00008343804147</c:v>
                </c:pt>
                <c:pt idx="17">
                  <c:v>1.00008865291907</c:v>
                </c:pt>
                <c:pt idx="18">
                  <c:v>1.00009386779666</c:v>
                </c:pt>
                <c:pt idx="19">
                  <c:v>1.00009908267425</c:v>
                </c:pt>
                <c:pt idx="20">
                  <c:v>1.0001042975518399</c:v>
                </c:pt>
                <c:pt idx="21">
                  <c:v>1.0001095124294399</c:v>
                </c:pt>
                <c:pt idx="22">
                  <c:v>1.0001147273070301</c:v>
                </c:pt>
                <c:pt idx="23">
                  <c:v>1.0001199421846201</c:v>
                </c:pt>
                <c:pt idx="24">
                  <c:v>1.0001251570622101</c:v>
                </c:pt>
                <c:pt idx="25">
                  <c:v>1.00013037193981</c:v>
                </c:pt>
                <c:pt idx="26">
                  <c:v>1.0001355868174</c:v>
                </c:pt>
                <c:pt idx="27">
                  <c:v>1.00014080169499</c:v>
                </c:pt>
                <c:pt idx="28">
                  <c:v>1.00014601657258</c:v>
                </c:pt>
                <c:pt idx="29">
                  <c:v>1.0001512314501699</c:v>
                </c:pt>
                <c:pt idx="30">
                  <c:v>1.0001564463277699</c:v>
                </c:pt>
                <c:pt idx="31">
                  <c:v>1.0001616612053601</c:v>
                </c:pt>
                <c:pt idx="32">
                  <c:v>1.0001668760829501</c:v>
                </c:pt>
                <c:pt idx="33">
                  <c:v>1.0001720909605401</c:v>
                </c:pt>
                <c:pt idx="34">
                  <c:v>1.00017730583814</c:v>
                </c:pt>
                <c:pt idx="35">
                  <c:v>1.00018252071573</c:v>
                </c:pt>
                <c:pt idx="36">
                  <c:v>1.0001877365451399</c:v>
                </c:pt>
                <c:pt idx="37">
                  <c:v>1.0001929523745601</c:v>
                </c:pt>
                <c:pt idx="38">
                  <c:v>1.00019816820398</c:v>
                </c:pt>
                <c:pt idx="39">
                  <c:v>1.0002033840333899</c:v>
                </c:pt>
                <c:pt idx="40">
                  <c:v>1.0002085998628101</c:v>
                </c:pt>
                <c:pt idx="41">
                  <c:v>1.00021381569222</c:v>
                </c:pt>
                <c:pt idx="42">
                  <c:v>1.0002190315216399</c:v>
                </c:pt>
                <c:pt idx="43">
                  <c:v>1.0002242473510501</c:v>
                </c:pt>
                <c:pt idx="44">
                  <c:v>1.00022946318047</c:v>
                </c:pt>
                <c:pt idx="45">
                  <c:v>1.0002346790098899</c:v>
                </c:pt>
                <c:pt idx="46">
                  <c:v>1.0002398948393001</c:v>
                </c:pt>
                <c:pt idx="47">
                  <c:v>1.00024511066872</c:v>
                </c:pt>
                <c:pt idx="48">
                  <c:v>1.0002503264981299</c:v>
                </c:pt>
                <c:pt idx="49">
                  <c:v>1.0002555423275501</c:v>
                </c:pt>
                <c:pt idx="50">
                  <c:v>1.00026075815696</c:v>
                </c:pt>
                <c:pt idx="51">
                  <c:v>1.00026597398638</c:v>
                </c:pt>
                <c:pt idx="52">
                  <c:v>1.0002711898157901</c:v>
                </c:pt>
                <c:pt idx="53">
                  <c:v>1.00027640564521</c:v>
                </c:pt>
                <c:pt idx="54">
                  <c:v>1.00028162147463</c:v>
                </c:pt>
                <c:pt idx="55">
                  <c:v>1.0002868373040401</c:v>
                </c:pt>
                <c:pt idx="56">
                  <c:v>1.00029205313346</c:v>
                </c:pt>
                <c:pt idx="57">
                  <c:v>1.00029726896287</c:v>
                </c:pt>
                <c:pt idx="58">
                  <c:v>1.0003024847922899</c:v>
                </c:pt>
                <c:pt idx="59">
                  <c:v>1.0003077006217</c:v>
                </c:pt>
                <c:pt idx="60">
                  <c:v>1.00031291645112</c:v>
                </c:pt>
                <c:pt idx="61">
                  <c:v>1.0003181322805299</c:v>
                </c:pt>
                <c:pt idx="62">
                  <c:v>1.0003233481099501</c:v>
                </c:pt>
                <c:pt idx="63">
                  <c:v>1.00032856393937</c:v>
                </c:pt>
                <c:pt idx="64">
                  <c:v>1.0003337797687799</c:v>
                </c:pt>
                <c:pt idx="65">
                  <c:v>1.0003389955982001</c:v>
                </c:pt>
                <c:pt idx="66">
                  <c:v>1.00034421142761</c:v>
                </c:pt>
                <c:pt idx="67">
                  <c:v>1.0003494272570299</c:v>
                </c:pt>
                <c:pt idx="68">
                  <c:v>1.0003546430864401</c:v>
                </c:pt>
                <c:pt idx="69">
                  <c:v>1.00035985891586</c:v>
                </c:pt>
                <c:pt idx="70">
                  <c:v>1.0003650747452799</c:v>
                </c:pt>
                <c:pt idx="71">
                  <c:v>1.0003702915266901</c:v>
                </c:pt>
                <c:pt idx="72">
                  <c:v>1.0003755083081001</c:v>
                </c:pt>
                <c:pt idx="73">
                  <c:v>1.00038072508951</c:v>
                </c:pt>
                <c:pt idx="74">
                  <c:v>1.00038594187093</c:v>
                </c:pt>
                <c:pt idx="75">
                  <c:v>1.00039115865234</c:v>
                </c:pt>
                <c:pt idx="76">
                  <c:v>1.0003963754337499</c:v>
                </c:pt>
                <c:pt idx="77">
                  <c:v>1.0004015922151599</c:v>
                </c:pt>
                <c:pt idx="78">
                  <c:v>1.0004068089965801</c:v>
                </c:pt>
                <c:pt idx="79">
                  <c:v>1.00041202577799</c:v>
                </c:pt>
                <c:pt idx="80">
                  <c:v>1.0004172425594</c:v>
                </c:pt>
                <c:pt idx="81">
                  <c:v>1.00042245934081</c:v>
                </c:pt>
                <c:pt idx="82">
                  <c:v>1.0004276761222299</c:v>
                </c:pt>
                <c:pt idx="83">
                  <c:v>1.0004328929036399</c:v>
                </c:pt>
                <c:pt idx="84">
                  <c:v>1.0004381096850501</c:v>
                </c:pt>
                <c:pt idx="85">
                  <c:v>1.0004433264664601</c:v>
                </c:pt>
                <c:pt idx="86">
                  <c:v>1.00044854324788</c:v>
                </c:pt>
                <c:pt idx="87">
                  <c:v>1.00045376002929</c:v>
                </c:pt>
                <c:pt idx="88">
                  <c:v>1.0004589768107</c:v>
                </c:pt>
                <c:pt idx="89">
                  <c:v>1.0004641935921099</c:v>
                </c:pt>
                <c:pt idx="90">
                  <c:v>1.0004694103735301</c:v>
                </c:pt>
                <c:pt idx="91">
                  <c:v>1.0004746271549401</c:v>
                </c:pt>
                <c:pt idx="92">
                  <c:v>1.00047984393635</c:v>
                </c:pt>
                <c:pt idx="93">
                  <c:v>1.00048506071776</c:v>
                </c:pt>
                <c:pt idx="94">
                  <c:v>1.00049027749918</c:v>
                </c:pt>
                <c:pt idx="95">
                  <c:v>1.0004954942805899</c:v>
                </c:pt>
                <c:pt idx="96">
                  <c:v>1.0005007110619999</c:v>
                </c:pt>
                <c:pt idx="97">
                  <c:v>1.0005059278434101</c:v>
                </c:pt>
                <c:pt idx="98">
                  <c:v>1.00051114462483</c:v>
                </c:pt>
                <c:pt idx="99">
                  <c:v>1.00051636140624</c:v>
                </c:pt>
                <c:pt idx="100">
                  <c:v>1.00052157818765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74E-41B6-9E59-4DD6826791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9496472"/>
        <c:axId val="559500432"/>
      </c:scatterChart>
      <c:valAx>
        <c:axId val="559496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9500432"/>
        <c:crosses val="autoZero"/>
        <c:crossBetween val="midCat"/>
      </c:valAx>
      <c:valAx>
        <c:axId val="559500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94964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T120, V16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GaN_Rds!$A$2:$A$102</c:f>
              <c:numCache>
                <c:formatCode>General</c:formatCode>
                <c:ptCount val="10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</c:numCache>
            </c:numRef>
          </c:xVal>
          <c:yVal>
            <c:numRef>
              <c:f>GaN_Rds!$H$2:$H$102</c:f>
              <c:numCache>
                <c:formatCode>General</c:formatCode>
                <c:ptCount val="101"/>
                <c:pt idx="0">
                  <c:v>1</c:v>
                </c:pt>
                <c:pt idx="1">
                  <c:v>1.00015210059644</c:v>
                </c:pt>
                <c:pt idx="2">
                  <c:v>1.00030422340209</c:v>
                </c:pt>
                <c:pt idx="3">
                  <c:v>1.0004563684199901</c:v>
                </c:pt>
                <c:pt idx="4">
                  <c:v>1.00060853565318</c:v>
                </c:pt>
                <c:pt idx="5">
                  <c:v>1.0007607251046999</c:v>
                </c:pt>
                <c:pt idx="6">
                  <c:v>1.00091293677759</c:v>
                </c:pt>
                <c:pt idx="7">
                  <c:v>1.00106517623227</c:v>
                </c:pt>
                <c:pt idx="8">
                  <c:v>1.00121743791642</c:v>
                </c:pt>
                <c:pt idx="9">
                  <c:v>1.0013697218331099</c:v>
                </c:pt>
                <c:pt idx="10">
                  <c:v>1.0015220279853601</c:v>
                </c:pt>
                <c:pt idx="11">
                  <c:v>1.00167435637623</c:v>
                </c:pt>
                <c:pt idx="12">
                  <c:v>1.0018267070087501</c:v>
                </c:pt>
                <c:pt idx="13">
                  <c:v>1.0019790854484201</c:v>
                </c:pt>
                <c:pt idx="14">
                  <c:v>1.0021314861378701</c:v>
                </c:pt>
                <c:pt idx="15">
                  <c:v>1.0022839090801401</c:v>
                </c:pt>
                <c:pt idx="16">
                  <c:v>1.0024363542782799</c:v>
                </c:pt>
                <c:pt idx="17">
                  <c:v>1.00258882173534</c:v>
                </c:pt>
                <c:pt idx="18">
                  <c:v>1.00274131145436</c:v>
                </c:pt>
                <c:pt idx="19">
                  <c:v>1.00289382900591</c:v>
                </c:pt>
                <c:pt idx="20">
                  <c:v>1.0030463688275499</c:v>
                </c:pt>
                <c:pt idx="21">
                  <c:v>1.0031989309223299</c:v>
                </c:pt>
                <c:pt idx="22">
                  <c:v>1.0033515152932999</c:v>
                </c:pt>
                <c:pt idx="23">
                  <c:v>1.0035041219435099</c:v>
                </c:pt>
                <c:pt idx="24">
                  <c:v>1.0036567508759999</c:v>
                </c:pt>
                <c:pt idx="25">
                  <c:v>1.0038094076664299</c:v>
                </c:pt>
                <c:pt idx="26">
                  <c:v>1.00396208674729</c:v>
                </c:pt>
                <c:pt idx="27">
                  <c:v>1.0041147881216199</c:v>
                </c:pt>
                <c:pt idx="28">
                  <c:v>1.00426751179247</c:v>
                </c:pt>
                <c:pt idx="29">
                  <c:v>1.0044202577629</c:v>
                </c:pt>
                <c:pt idx="30">
                  <c:v>1.00457302603596</c:v>
                </c:pt>
                <c:pt idx="31">
                  <c:v>1.00472582219239</c:v>
                </c:pt>
                <c:pt idx="32">
                  <c:v>1.0048786406596</c:v>
                </c:pt>
                <c:pt idx="33">
                  <c:v>1.00503148144062</c:v>
                </c:pt>
                <c:pt idx="34">
                  <c:v>1.00518434453853</c:v>
                </c:pt>
                <c:pt idx="35">
                  <c:v>1.0053372299563801</c:v>
                </c:pt>
                <c:pt idx="36">
                  <c:v>1.0054901376972101</c:v>
                </c:pt>
                <c:pt idx="37">
                  <c:v>1.00564307334687</c:v>
                </c:pt>
                <c:pt idx="38">
                  <c:v>1.0057960313276799</c:v>
                </c:pt>
                <c:pt idx="39">
                  <c:v>1.0059490116426699</c:v>
                </c:pt>
                <c:pt idx="40">
                  <c:v>1.00610201429493</c:v>
                </c:pt>
                <c:pt idx="41">
                  <c:v>1.00625503928749</c:v>
                </c:pt>
                <c:pt idx="42">
                  <c:v>1.00640808662342</c:v>
                </c:pt>
                <c:pt idx="43">
                  <c:v>1.0065611618936701</c:v>
                </c:pt>
                <c:pt idx="44">
                  <c:v>1.0067142595154399</c:v>
                </c:pt>
                <c:pt idx="45">
                  <c:v>1.0068673794917899</c:v>
                </c:pt>
                <c:pt idx="46">
                  <c:v>1.0070205218257899</c:v>
                </c:pt>
                <c:pt idx="47">
                  <c:v>1.0071736865205001</c:v>
                </c:pt>
                <c:pt idx="48">
                  <c:v>1.00732687357897</c:v>
                </c:pt>
                <c:pt idx="49">
                  <c:v>1.0074800885972599</c:v>
                </c:pt>
                <c:pt idx="50">
                  <c:v>1.0076333259874799</c:v>
                </c:pt>
                <c:pt idx="51">
                  <c:v>1.00778658575269</c:v>
                </c:pt>
                <c:pt idx="52">
                  <c:v>1.0079398678959599</c:v>
                </c:pt>
                <c:pt idx="53">
                  <c:v>1.0080931724203499</c:v>
                </c:pt>
                <c:pt idx="54">
                  <c:v>1.00824649932893</c:v>
                </c:pt>
                <c:pt idx="55">
                  <c:v>1.0083998542228401</c:v>
                </c:pt>
                <c:pt idx="56">
                  <c:v>1.0085532315091099</c:v>
                </c:pt>
                <c:pt idx="57">
                  <c:v>1.0087066311908</c:v>
                </c:pt>
                <c:pt idx="58">
                  <c:v>1.0088600532709699</c:v>
                </c:pt>
                <c:pt idx="59">
                  <c:v>1.0090134977527001</c:v>
                </c:pt>
                <c:pt idx="60">
                  <c:v>1.00916696463905</c:v>
                </c:pt>
                <c:pt idx="61">
                  <c:v>1.0093204595362799</c:v>
                </c:pt>
                <c:pt idx="62">
                  <c:v>1.0094739768463199</c:v>
                </c:pt>
                <c:pt idx="63">
                  <c:v>1.0096275165722199</c:v>
                </c:pt>
                <c:pt idx="64">
                  <c:v>1.00978107871705</c:v>
                </c:pt>
                <c:pt idx="65">
                  <c:v>1.0099346632838899</c:v>
                </c:pt>
                <c:pt idx="66">
                  <c:v>1.0100882702758001</c:v>
                </c:pt>
                <c:pt idx="67">
                  <c:v>1.01024190530417</c:v>
                </c:pt>
                <c:pt idx="68">
                  <c:v>1.0103955627658101</c:v>
                </c:pt>
                <c:pt idx="69">
                  <c:v>1.0105492426637701</c:v>
                </c:pt>
                <c:pt idx="70">
                  <c:v>1.01070294500113</c:v>
                </c:pt>
                <c:pt idx="71">
                  <c:v>1.01085666978097</c:v>
                </c:pt>
                <c:pt idx="72">
                  <c:v>1.0110104170063601</c:v>
                </c:pt>
                <c:pt idx="73">
                  <c:v>1.0111641922937999</c:v>
                </c:pt>
                <c:pt idx="74">
                  <c:v>1.01131799003498</c:v>
                </c:pt>
                <c:pt idx="75">
                  <c:v>1.0114718102329701</c:v>
                </c:pt>
                <c:pt idx="76">
                  <c:v>1.01162565289085</c:v>
                </c:pt>
                <c:pt idx="77">
                  <c:v>1.0117795180117</c:v>
                </c:pt>
                <c:pt idx="78">
                  <c:v>1.01193340559858</c:v>
                </c:pt>
                <c:pt idx="79">
                  <c:v>1.0120873212731301</c:v>
                </c:pt>
                <c:pt idx="80">
                  <c:v>1.0122412594219301</c:v>
                </c:pt>
                <c:pt idx="81">
                  <c:v>1.01239522004803</c:v>
                </c:pt>
                <c:pt idx="82">
                  <c:v>1.01254920315454</c:v>
                </c:pt>
                <c:pt idx="83">
                  <c:v>1.01270320874451</c:v>
                </c:pt>
                <c:pt idx="84">
                  <c:v>1.01285723682103</c:v>
                </c:pt>
                <c:pt idx="85">
                  <c:v>1.0130112930108599</c:v>
                </c:pt>
                <c:pt idx="86">
                  <c:v>1.0131653716954501</c:v>
                </c:pt>
                <c:pt idx="87">
                  <c:v>1.01331947287788</c:v>
                </c:pt>
                <c:pt idx="88">
                  <c:v>1.01347359656122</c:v>
                </c:pt>
                <c:pt idx="89">
                  <c:v>1.01362774274856</c:v>
                </c:pt>
                <c:pt idx="90">
                  <c:v>1.01378191144298</c:v>
                </c:pt>
                <c:pt idx="91">
                  <c:v>1.01393610827637</c:v>
                </c:pt>
                <c:pt idx="92">
                  <c:v>1.0140903276250599</c:v>
                </c:pt>
                <c:pt idx="93">
                  <c:v>1.01424456949213</c:v>
                </c:pt>
                <c:pt idx="94">
                  <c:v>1.01439883388065</c:v>
                </c:pt>
                <c:pt idx="95">
                  <c:v>1.01455312079371</c:v>
                </c:pt>
                <c:pt idx="96">
                  <c:v>1.0147074302343999</c:v>
                </c:pt>
                <c:pt idx="97">
                  <c:v>1.01486176783975</c:v>
                </c:pt>
                <c:pt idx="98">
                  <c:v>1.01501612798096</c:v>
                </c:pt>
                <c:pt idx="99">
                  <c:v>1.01517051066109</c:v>
                </c:pt>
                <c:pt idx="100">
                  <c:v>1.01532491588325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EF7-4A9C-99B9-CEE43E2BCE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4083640"/>
        <c:axId val="414094064"/>
      </c:scatterChart>
      <c:valAx>
        <c:axId val="604083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4094064"/>
        <c:crosses val="autoZero"/>
        <c:crossBetween val="midCat"/>
      </c:valAx>
      <c:valAx>
        <c:axId val="414094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40836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Ln(TTF) =Ea/KT + ln(C)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789113075474143"/>
                  <c:y val="-5.5096418732782364E-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GaN_Rds!$W$106:$W$109</c:f>
              <c:numCache>
                <c:formatCode>0.000000</c:formatCode>
                <c:ptCount val="4"/>
                <c:pt idx="0">
                  <c:v>45.869434489503014</c:v>
                </c:pt>
                <c:pt idx="1">
                  <c:v>38.942842033034438</c:v>
                </c:pt>
                <c:pt idx="2">
                  <c:v>32.875260413156546</c:v>
                </c:pt>
                <c:pt idx="3">
                  <c:v>29.529177928356905</c:v>
                </c:pt>
              </c:numCache>
            </c:numRef>
          </c:xVal>
          <c:yVal>
            <c:numRef>
              <c:f>GaN_Rds!$X$106:$X$109</c:f>
              <c:numCache>
                <c:formatCode>General</c:formatCode>
                <c:ptCount val="4"/>
                <c:pt idx="0">
                  <c:v>15.109259476236765</c:v>
                </c:pt>
                <c:pt idx="1">
                  <c:v>12.806674383242719</c:v>
                </c:pt>
                <c:pt idx="2">
                  <c:v>10.727232841562882</c:v>
                </c:pt>
                <c:pt idx="3">
                  <c:v>9.1177949291287828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3B2-4B1B-B363-2860298249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8656872"/>
        <c:axId val="608657952"/>
      </c:scatterChart>
      <c:valAx>
        <c:axId val="6086568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1/KT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8657952"/>
        <c:crosses val="autoZero"/>
        <c:crossBetween val="midCat"/>
      </c:valAx>
      <c:valAx>
        <c:axId val="608657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ln(TTF)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86568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TTF =AV^-</a:t>
            </a:r>
            <a:r>
              <a:rPr lang="el-GR"/>
              <a:t>γ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26311783913308212"/>
                  <c:y val="-0.426994330854679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GaN_Rds!$K$106:$K$109</c:f>
              <c:numCache>
                <c:formatCode>General</c:formatCode>
                <c:ptCount val="4"/>
                <c:pt idx="0">
                  <c:v>12</c:v>
                </c:pt>
                <c:pt idx="1">
                  <c:v>14</c:v>
                </c:pt>
                <c:pt idx="2">
                  <c:v>16</c:v>
                </c:pt>
                <c:pt idx="3">
                  <c:v>18</c:v>
                </c:pt>
              </c:numCache>
            </c:numRef>
          </c:xVal>
          <c:yVal>
            <c:numRef>
              <c:f>GaN_Rds!$M$106:$M$109</c:f>
              <c:numCache>
                <c:formatCode>General</c:formatCode>
                <c:ptCount val="4"/>
                <c:pt idx="0">
                  <c:v>202579.50754883845</c:v>
                </c:pt>
                <c:pt idx="1">
                  <c:v>91160.778396977301</c:v>
                </c:pt>
                <c:pt idx="2">
                  <c:v>45580.38919848865</c:v>
                </c:pt>
                <c:pt idx="3">
                  <c:v>26045.936684850658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263-4648-A9AC-3AD301CD3D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0988424"/>
        <c:axId val="608650752"/>
      </c:scatterChart>
      <c:valAx>
        <c:axId val="6309884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8650752"/>
        <c:crosses val="autoZero"/>
        <c:crossBetween val="midCat"/>
      </c:valAx>
      <c:valAx>
        <c:axId val="608650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09884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ln(TTF)=-</a:t>
            </a:r>
            <a:r>
              <a:rPr lang="en-US" sz="1200" i="0">
                <a:latin typeface="Cambria Math" panose="02040503050406030204" pitchFamily="18" charset="0"/>
                <a:ea typeface="Cambria Math" panose="02040503050406030204" pitchFamily="18" charset="0"/>
              </a:rPr>
              <a:t>𝛾</a:t>
            </a:r>
            <a:r>
              <a:rPr lang="en-US" sz="12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ln(V) +ln(C)</a:t>
            </a:r>
            <a:endParaRPr lang="en-US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3.8356728376315395E-2"/>
                  <c:y val="0.2011262269869765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GaN_Rds!$P$106:$P$109</c:f>
              <c:numCache>
                <c:formatCode>General</c:formatCode>
                <c:ptCount val="4"/>
                <c:pt idx="0">
                  <c:v>2.4849066497880004</c:v>
                </c:pt>
                <c:pt idx="1">
                  <c:v>2.6390573296152584</c:v>
                </c:pt>
                <c:pt idx="2">
                  <c:v>2.7725887222397811</c:v>
                </c:pt>
                <c:pt idx="3">
                  <c:v>2.8903717578961645</c:v>
                </c:pt>
              </c:numCache>
            </c:numRef>
          </c:xVal>
          <c:yVal>
            <c:numRef>
              <c:f>GaN_Rds!$O$106:$O$109</c:f>
              <c:numCache>
                <c:formatCode>General</c:formatCode>
                <c:ptCount val="4"/>
                <c:pt idx="0">
                  <c:v>12.2188877183406</c:v>
                </c:pt>
                <c:pt idx="1">
                  <c:v>11.420380022122828</c:v>
                </c:pt>
                <c:pt idx="2">
                  <c:v>10.727232841562882</c:v>
                </c:pt>
                <c:pt idx="3">
                  <c:v>10.16761705362746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F54-494F-A59F-EB51B62671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8652192"/>
        <c:axId val="611907816"/>
      </c:scatterChart>
      <c:valAx>
        <c:axId val="608652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ln(V)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1907816"/>
        <c:crosses val="autoZero"/>
        <c:crossBetween val="midCat"/>
      </c:valAx>
      <c:valAx>
        <c:axId val="611907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ln(TTF)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86521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R(t)=99.12%</a:t>
            </a:r>
            <a:r>
              <a:rPr lang="en-US" baseline="0"/>
              <a:t> ± 0.1%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'Reliability R(t)'!$AW$119:$AW$123</c:f>
              <c:numCache>
                <c:formatCode>General</c:formatCode>
                <c:ptCount val="5"/>
                <c:pt idx="0">
                  <c:v>200</c:v>
                </c:pt>
                <c:pt idx="1">
                  <c:v>160</c:v>
                </c:pt>
                <c:pt idx="2">
                  <c:v>100</c:v>
                </c:pt>
                <c:pt idx="3">
                  <c:v>70</c:v>
                </c:pt>
                <c:pt idx="4">
                  <c:v>10</c:v>
                </c:pt>
              </c:numCache>
            </c:numRef>
          </c:xVal>
          <c:yVal>
            <c:numRef>
              <c:f>'Reliability R(t)'!$AX$119:$AX$123</c:f>
              <c:numCache>
                <c:formatCode>General</c:formatCode>
                <c:ptCount val="5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7AD-4D34-BE58-CD0F7A3C63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2118968"/>
        <c:axId val="822120048"/>
      </c:scatterChart>
      <c:valAx>
        <c:axId val="822118968"/>
        <c:scaling>
          <c:orientation val="minMax"/>
          <c:max val="2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2120048"/>
        <c:crosses val="autoZero"/>
        <c:crossBetween val="midCat"/>
      </c:valAx>
      <c:valAx>
        <c:axId val="822120048"/>
        <c:scaling>
          <c:orientation val="minMax"/>
          <c:max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 (0.1*V for Si)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21189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R(t)=99.12% ± 0.1%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R(t)=99.12%</c:v>
          </c:tx>
          <c:spPr>
            <a:solidFill>
              <a:srgbClr val="00FF00"/>
            </a:solidFill>
            <a:ln>
              <a:noFill/>
            </a:ln>
            <a:effectLst/>
          </c:spPr>
          <c:cat>
            <c:numRef>
              <c:f>'Reliability R(t)'!$AX$119:$AX$135</c:f>
              <c:numCache>
                <c:formatCode>General</c:formatCode>
                <c:ptCount val="17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8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14</c:v>
                </c:pt>
                <c:pt idx="11">
                  <c:v>15</c:v>
                </c:pt>
                <c:pt idx="12">
                  <c:v>16</c:v>
                </c:pt>
                <c:pt idx="13">
                  <c:v>17</c:v>
                </c:pt>
                <c:pt idx="14">
                  <c:v>18</c:v>
                </c:pt>
                <c:pt idx="15">
                  <c:v>19</c:v>
                </c:pt>
                <c:pt idx="16">
                  <c:v>20</c:v>
                </c:pt>
              </c:numCache>
            </c:numRef>
          </c:cat>
          <c:val>
            <c:numRef>
              <c:f>'Reliability R(t)'!$AW$119:$AW$135</c:f>
              <c:numCache>
                <c:formatCode>General</c:formatCode>
                <c:ptCount val="17"/>
                <c:pt idx="0">
                  <c:v>200</c:v>
                </c:pt>
                <c:pt idx="1">
                  <c:v>160</c:v>
                </c:pt>
                <c:pt idx="2">
                  <c:v>100</c:v>
                </c:pt>
                <c:pt idx="3">
                  <c:v>70</c:v>
                </c:pt>
                <c:pt idx="4">
                  <c:v>10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848-4EF3-9AA5-F5B75F3603E5}"/>
            </c:ext>
          </c:extLst>
        </c:ser>
        <c:ser>
          <c:idx val="1"/>
          <c:order val="1"/>
          <c:tx>
            <c:v>R(t) Below 99.21%</c:v>
          </c:tx>
          <c:spPr>
            <a:solidFill>
              <a:srgbClr val="FF0000"/>
            </a:solidFill>
            <a:ln w="25400">
              <a:noFill/>
            </a:ln>
            <a:effectLst/>
          </c:spPr>
          <c:cat>
            <c:numRef>
              <c:f>'Reliability R(t)'!$AX$119:$AX$135</c:f>
              <c:numCache>
                <c:formatCode>General</c:formatCode>
                <c:ptCount val="17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8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14</c:v>
                </c:pt>
                <c:pt idx="11">
                  <c:v>15</c:v>
                </c:pt>
                <c:pt idx="12">
                  <c:v>16</c:v>
                </c:pt>
                <c:pt idx="13">
                  <c:v>17</c:v>
                </c:pt>
                <c:pt idx="14">
                  <c:v>18</c:v>
                </c:pt>
                <c:pt idx="15">
                  <c:v>19</c:v>
                </c:pt>
                <c:pt idx="16">
                  <c:v>20</c:v>
                </c:pt>
              </c:numCache>
            </c:numRef>
          </c:cat>
          <c:val>
            <c:numRef>
              <c:f>'Reliability R(t)'!$AY$119:$AY$135</c:f>
              <c:numCache>
                <c:formatCode>General</c:formatCode>
                <c:ptCount val="17"/>
                <c:pt idx="0">
                  <c:v>200</c:v>
                </c:pt>
                <c:pt idx="1">
                  <c:v>200</c:v>
                </c:pt>
                <c:pt idx="2">
                  <c:v>200</c:v>
                </c:pt>
                <c:pt idx="3">
                  <c:v>200</c:v>
                </c:pt>
                <c:pt idx="4">
                  <c:v>200</c:v>
                </c:pt>
                <c:pt idx="5">
                  <c:v>200</c:v>
                </c:pt>
                <c:pt idx="6">
                  <c:v>200</c:v>
                </c:pt>
                <c:pt idx="7">
                  <c:v>200</c:v>
                </c:pt>
                <c:pt idx="8">
                  <c:v>200</c:v>
                </c:pt>
                <c:pt idx="9">
                  <c:v>200</c:v>
                </c:pt>
                <c:pt idx="10">
                  <c:v>200</c:v>
                </c:pt>
                <c:pt idx="11">
                  <c:v>200</c:v>
                </c:pt>
                <c:pt idx="12">
                  <c:v>200</c:v>
                </c:pt>
                <c:pt idx="13">
                  <c:v>200</c:v>
                </c:pt>
                <c:pt idx="14">
                  <c:v>200</c:v>
                </c:pt>
                <c:pt idx="15">
                  <c:v>200</c:v>
                </c:pt>
                <c:pt idx="16">
                  <c:v>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848-4EF3-9AA5-F5B75F3603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3645768"/>
        <c:axId val="883643248"/>
      </c:areaChart>
      <c:catAx>
        <c:axId val="8836457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 (V*0.1 for Si)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3643248"/>
        <c:crosses val="autoZero"/>
        <c:auto val="1"/>
        <c:lblAlgn val="ctr"/>
        <c:lblOffset val="100"/>
        <c:noMultiLvlLbl val="0"/>
      </c:catAx>
      <c:valAx>
        <c:axId val="883643248"/>
        <c:scaling>
          <c:orientation val="minMax"/>
          <c:max val="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 [C]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36457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2.xml"/><Relationship Id="rId3" Type="http://schemas.openxmlformats.org/officeDocument/2006/relationships/chart" Target="../charts/chart17.xml"/><Relationship Id="rId7" Type="http://schemas.openxmlformats.org/officeDocument/2006/relationships/chart" Target="../charts/chart21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Relationship Id="rId6" Type="http://schemas.openxmlformats.org/officeDocument/2006/relationships/chart" Target="../charts/chart20.xml"/><Relationship Id="rId5" Type="http://schemas.openxmlformats.org/officeDocument/2006/relationships/chart" Target="../charts/chart19.xml"/><Relationship Id="rId10" Type="http://schemas.openxmlformats.org/officeDocument/2006/relationships/chart" Target="../charts/chart24.xml"/><Relationship Id="rId4" Type="http://schemas.openxmlformats.org/officeDocument/2006/relationships/chart" Target="../charts/chart18.xml"/><Relationship Id="rId9" Type="http://schemas.openxmlformats.org/officeDocument/2006/relationships/chart" Target="../charts/chart2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155770</xdr:colOff>
      <xdr:row>23</xdr:row>
      <xdr:rowOff>94736</xdr:rowOff>
    </xdr:from>
    <xdr:to>
      <xdr:col>34</xdr:col>
      <xdr:colOff>440055</xdr:colOff>
      <xdr:row>38</xdr:row>
      <xdr:rowOff>111881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3C13FD7-498F-47A3-7A15-0D61708097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242815</xdr:colOff>
      <xdr:row>38</xdr:row>
      <xdr:rowOff>118769</xdr:rowOff>
    </xdr:from>
    <xdr:to>
      <xdr:col>34</xdr:col>
      <xdr:colOff>516256</xdr:colOff>
      <xdr:row>54</xdr:row>
      <xdr:rowOff>141629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EDF722B-DFD4-2294-C907-8A01AA12B0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27</xdr:col>
      <xdr:colOff>393016</xdr:colOff>
      <xdr:row>54</xdr:row>
      <xdr:rowOff>153792</xdr:rowOff>
    </xdr:from>
    <xdr:to>
      <xdr:col>35</xdr:col>
      <xdr:colOff>37367</xdr:colOff>
      <xdr:row>70</xdr:row>
      <xdr:rowOff>4615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14BA23B-252C-281F-87EC-9C13FC8033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458176</xdr:colOff>
      <xdr:row>32</xdr:row>
      <xdr:rowOff>149054</xdr:rowOff>
    </xdr:from>
    <xdr:to>
      <xdr:col>26</xdr:col>
      <xdr:colOff>101600</xdr:colOff>
      <xdr:row>50</xdr:row>
      <xdr:rowOff>50800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5DB1FA5-89A7-1A0F-42B5-34CE6D3AF6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20</xdr:col>
      <xdr:colOff>508293</xdr:colOff>
      <xdr:row>44</xdr:row>
      <xdr:rowOff>51508</xdr:rowOff>
    </xdr:from>
    <xdr:to>
      <xdr:col>27</xdr:col>
      <xdr:colOff>105019</xdr:colOff>
      <xdr:row>60</xdr:row>
      <xdr:rowOff>72512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8A3EF05-425E-22B1-94AB-9B6633D540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20</xdr:col>
      <xdr:colOff>517134</xdr:colOff>
      <xdr:row>61</xdr:row>
      <xdr:rowOff>106899</xdr:rowOff>
    </xdr:from>
    <xdr:to>
      <xdr:col>27</xdr:col>
      <xdr:colOff>111663</xdr:colOff>
      <xdr:row>76</xdr:row>
      <xdr:rowOff>139284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D9DC79B-9684-AAE0-9303-5B701E2452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565151</xdr:colOff>
      <xdr:row>49</xdr:row>
      <xdr:rowOff>129711</xdr:rowOff>
    </xdr:from>
    <xdr:to>
      <xdr:col>20</xdr:col>
      <xdr:colOff>412017</xdr:colOff>
      <xdr:row>64</xdr:row>
      <xdr:rowOff>145536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C7D73FC-5B2A-4068-04CA-1BC3C980BE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15</xdr:col>
      <xdr:colOff>468483</xdr:colOff>
      <xdr:row>67</xdr:row>
      <xdr:rowOff>66162</xdr:rowOff>
    </xdr:from>
    <xdr:to>
      <xdr:col>20</xdr:col>
      <xdr:colOff>336012</xdr:colOff>
      <xdr:row>82</xdr:row>
      <xdr:rowOff>92832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AB743DB-5E86-3747-26DD-EF4A894A8F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15</xdr:col>
      <xdr:colOff>86311</xdr:colOff>
      <xdr:row>77</xdr:row>
      <xdr:rowOff>139284</xdr:rowOff>
    </xdr:from>
    <xdr:to>
      <xdr:col>19</xdr:col>
      <xdr:colOff>893884</xdr:colOff>
      <xdr:row>92</xdr:row>
      <xdr:rowOff>164635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994C7207-C190-0D6D-D7E7-9D0F5A6FFC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oneCellAnchor>
    <xdr:from>
      <xdr:col>11</xdr:col>
      <xdr:colOff>628650</xdr:colOff>
      <xdr:row>40</xdr:row>
      <xdr:rowOff>16192</xdr:rowOff>
    </xdr:from>
    <xdr:ext cx="65" cy="17222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672F3F26-7B9E-1CD6-6A5F-50587F74C7AF}"/>
            </a:ext>
          </a:extLst>
        </xdr:cNvPr>
        <xdr:cNvSpPr txBox="1"/>
      </xdr:nvSpPr>
      <xdr:spPr>
        <a:xfrm>
          <a:off x="8458200" y="725519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0</xdr:col>
      <xdr:colOff>362560</xdr:colOff>
      <xdr:row>67</xdr:row>
      <xdr:rowOff>55189</xdr:rowOff>
    </xdr:from>
    <xdr:to>
      <xdr:col>6</xdr:col>
      <xdr:colOff>220147</xdr:colOff>
      <xdr:row>82</xdr:row>
      <xdr:rowOff>24118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1B0C56A3-9480-8B7D-C116-49E7FCA227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6</xdr:col>
      <xdr:colOff>772115</xdr:colOff>
      <xdr:row>67</xdr:row>
      <xdr:rowOff>88703</xdr:rowOff>
    </xdr:from>
    <xdr:to>
      <xdr:col>12</xdr:col>
      <xdr:colOff>400363</xdr:colOff>
      <xdr:row>82</xdr:row>
      <xdr:rowOff>50012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D1BE29A6-B0E7-407E-7C35-865017B5E2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37</xdr:col>
      <xdr:colOff>278525</xdr:colOff>
      <xdr:row>22</xdr:row>
      <xdr:rowOff>122840</xdr:rowOff>
    </xdr:from>
    <xdr:to>
      <xdr:col>47</xdr:col>
      <xdr:colOff>202223</xdr:colOff>
      <xdr:row>38</xdr:row>
      <xdr:rowOff>117230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1F7A2CFD-F32F-D6DB-3AA0-9D8B61B98F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29</xdr:col>
      <xdr:colOff>209551</xdr:colOff>
      <xdr:row>2</xdr:row>
      <xdr:rowOff>161925</xdr:rowOff>
    </xdr:from>
    <xdr:to>
      <xdr:col>38</xdr:col>
      <xdr:colOff>450717</xdr:colOff>
      <xdr:row>18</xdr:row>
      <xdr:rowOff>104775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F508FA00-6487-E58E-BB44-21C755E388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39</xdr:col>
      <xdr:colOff>799</xdr:colOff>
      <xdr:row>2</xdr:row>
      <xdr:rowOff>171450</xdr:rowOff>
    </xdr:from>
    <xdr:to>
      <xdr:col>48</xdr:col>
      <xdr:colOff>266700</xdr:colOff>
      <xdr:row>18</xdr:row>
      <xdr:rowOff>85725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8212C74B-557E-350E-E9E5-C4EEA7E6F3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429796</xdr:colOff>
      <xdr:row>3</xdr:row>
      <xdr:rowOff>90194</xdr:rowOff>
    </xdr:from>
    <xdr:to>
      <xdr:col>14</xdr:col>
      <xdr:colOff>359312</xdr:colOff>
      <xdr:row>16</xdr:row>
      <xdr:rowOff>93052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14348B8-0600-54F4-57A5-43FD4E0DA2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358945</xdr:colOff>
      <xdr:row>20</xdr:row>
      <xdr:rowOff>0</xdr:rowOff>
    </xdr:from>
    <xdr:to>
      <xdr:col>14</xdr:col>
      <xdr:colOff>340179</xdr:colOff>
      <xdr:row>33</xdr:row>
      <xdr:rowOff>142434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25EA779-CB80-CC68-FE46-8C3323DC49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320691</xdr:colOff>
      <xdr:row>35</xdr:row>
      <xdr:rowOff>145296</xdr:rowOff>
    </xdr:from>
    <xdr:to>
      <xdr:col>15</xdr:col>
      <xdr:colOff>0</xdr:colOff>
      <xdr:row>49</xdr:row>
      <xdr:rowOff>126312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8BE9177-ECA6-646C-0002-3787B8C365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570603</xdr:colOff>
      <xdr:row>2</xdr:row>
      <xdr:rowOff>143061</xdr:rowOff>
    </xdr:from>
    <xdr:to>
      <xdr:col>22</xdr:col>
      <xdr:colOff>299719</xdr:colOff>
      <xdr:row>18</xdr:row>
      <xdr:rowOff>22224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40E71A8-D6A2-16D3-DEAE-7799B6E8CC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97156</xdr:colOff>
      <xdr:row>20</xdr:row>
      <xdr:rowOff>41639</xdr:rowOff>
    </xdr:from>
    <xdr:to>
      <xdr:col>22</xdr:col>
      <xdr:colOff>381001</xdr:colOff>
      <xdr:row>35</xdr:row>
      <xdr:rowOff>139066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48B29E4-5504-D870-8F19-7FFEC99B22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138847</xdr:colOff>
      <xdr:row>39</xdr:row>
      <xdr:rowOff>32299</xdr:rowOff>
    </xdr:from>
    <xdr:to>
      <xdr:col>22</xdr:col>
      <xdr:colOff>467892</xdr:colOff>
      <xdr:row>54</xdr:row>
      <xdr:rowOff>5889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A92217B1-C82A-4602-8FE1-85CDBF7B94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151976</xdr:colOff>
      <xdr:row>56</xdr:row>
      <xdr:rowOff>43485</xdr:rowOff>
    </xdr:from>
    <xdr:to>
      <xdr:col>22</xdr:col>
      <xdr:colOff>443606</xdr:colOff>
      <xdr:row>71</xdr:row>
      <xdr:rowOff>131327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7067DF76-4430-09F1-E380-22E3649000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18</xdr:col>
      <xdr:colOff>102721</xdr:colOff>
      <xdr:row>110</xdr:row>
      <xdr:rowOff>73250</xdr:rowOff>
    </xdr:from>
    <xdr:to>
      <xdr:col>24</xdr:col>
      <xdr:colOff>333262</xdr:colOff>
      <xdr:row>122</xdr:row>
      <xdr:rowOff>18678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4B1665B0-5445-984B-73A2-4BBF5894A3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23</xdr:col>
      <xdr:colOff>104059</xdr:colOff>
      <xdr:row>128</xdr:row>
      <xdr:rowOff>11784</xdr:rowOff>
    </xdr:from>
    <xdr:to>
      <xdr:col>30</xdr:col>
      <xdr:colOff>5846</xdr:colOff>
      <xdr:row>138</xdr:row>
      <xdr:rowOff>52647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C3514492-084C-610D-A813-4A109E977C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10</xdr:col>
      <xdr:colOff>475831</xdr:colOff>
      <xdr:row>110</xdr:row>
      <xdr:rowOff>44331</xdr:rowOff>
    </xdr:from>
    <xdr:to>
      <xdr:col>16</xdr:col>
      <xdr:colOff>553712</xdr:colOff>
      <xdr:row>123</xdr:row>
      <xdr:rowOff>27297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52F48D6B-456E-1A8F-8AED-20AF16B33B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oneCellAnchor>
    <xdr:from>
      <xdr:col>18</xdr:col>
      <xdr:colOff>77912</xdr:colOff>
      <xdr:row>116</xdr:row>
      <xdr:rowOff>77913</xdr:rowOff>
    </xdr:from>
    <xdr:ext cx="65" cy="17222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6534D35E-44B6-3FCE-F849-AD528F69282A}"/>
            </a:ext>
          </a:extLst>
        </xdr:cNvPr>
        <xdr:cNvSpPr txBox="1"/>
      </xdr:nvSpPr>
      <xdr:spPr>
        <a:xfrm>
          <a:off x="14461732" y="2118274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12</xdr:col>
      <xdr:colOff>227743</xdr:colOff>
      <xdr:row>127</xdr:row>
      <xdr:rowOff>174233</xdr:rowOff>
    </xdr:from>
    <xdr:ext cx="403690" cy="34445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8427971D-493E-02EB-22D0-FA7C50F2D270}"/>
                </a:ext>
              </a:extLst>
            </xdr:cNvPr>
            <xdr:cNvSpPr txBox="1"/>
          </xdr:nvSpPr>
          <xdr:spPr>
            <a:xfrm>
              <a:off x="10073810" y="23280385"/>
              <a:ext cx="403690" cy="344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𝛾</m:t>
                    </m:r>
                  </m:oMath>
                </m:oMathPara>
              </a14:m>
              <a:endParaRPr lang="en-US" sz="1100">
                <a:ea typeface="Cambria Math" panose="02040503050406030204" pitchFamily="18" charset="0"/>
              </a:endParaRPr>
            </a:p>
            <a:p>
              <a:endParaRPr lang="en-US" sz="1100"/>
            </a:p>
          </xdr:txBody>
        </xdr:sp>
      </mc:Choice>
      <mc:Fallback xmlns="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8427971D-493E-02EB-22D0-FA7C50F2D270}"/>
                </a:ext>
              </a:extLst>
            </xdr:cNvPr>
            <xdr:cNvSpPr txBox="1"/>
          </xdr:nvSpPr>
          <xdr:spPr>
            <a:xfrm>
              <a:off x="10073810" y="23280385"/>
              <a:ext cx="403690" cy="344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𝛾</a:t>
              </a:r>
              <a:endParaRPr lang="en-US" sz="1100">
                <a:ea typeface="Cambria Math" panose="02040503050406030204" pitchFamily="18" charset="0"/>
              </a:endParaRPr>
            </a:p>
            <a:p>
              <a:endParaRPr lang="en-US" sz="1100"/>
            </a:p>
          </xdr:txBody>
        </xdr:sp>
      </mc:Fallback>
    </mc:AlternateContent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42</xdr:col>
      <xdr:colOff>198498</xdr:colOff>
      <xdr:row>114</xdr:row>
      <xdr:rowOff>109967</xdr:rowOff>
    </xdr:from>
    <xdr:to>
      <xdr:col>47</xdr:col>
      <xdr:colOff>515167</xdr:colOff>
      <xdr:row>129</xdr:row>
      <xdr:rowOff>176454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6118A78F-F41E-5E76-0949-614FB40420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53</xdr:col>
      <xdr:colOff>278904</xdr:colOff>
      <xdr:row>117</xdr:row>
      <xdr:rowOff>131842</xdr:rowOff>
    </xdr:from>
    <xdr:to>
      <xdr:col>58</xdr:col>
      <xdr:colOff>239694</xdr:colOff>
      <xdr:row>133</xdr:row>
      <xdr:rowOff>26104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86582275-C32C-CEE6-9CBE-D1203E185F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14"/>
  <sheetViews>
    <sheetView tabSelected="1" zoomScale="39" zoomScaleNormal="100" workbookViewId="0">
      <selection activeCell="C59" sqref="C59"/>
    </sheetView>
  </sheetViews>
  <sheetFormatPr defaultRowHeight="14.4" x14ac:dyDescent="0.3"/>
  <cols>
    <col min="2" max="2" width="15" customWidth="1"/>
    <col min="3" max="3" width="8.88671875" customWidth="1"/>
    <col min="4" max="8" width="12" bestFit="1" customWidth="1"/>
    <col min="9" max="9" width="16.88671875" customWidth="1"/>
    <col min="10" max="12" width="12" bestFit="1" customWidth="1"/>
    <col min="13" max="13" width="12" customWidth="1"/>
    <col min="14" max="14" width="16.21875" customWidth="1"/>
    <col min="15" max="15" width="13.77734375" customWidth="1"/>
    <col min="16" max="16" width="14.44140625" customWidth="1"/>
    <col min="17" max="17" width="13.44140625" customWidth="1"/>
    <col min="18" max="18" width="13.6640625" customWidth="1"/>
    <col min="19" max="19" width="13.33203125" customWidth="1"/>
    <col min="20" max="20" width="13.88671875" customWidth="1"/>
    <col min="21" max="21" width="14.21875" customWidth="1"/>
    <col min="22" max="22" width="13.77734375" customWidth="1"/>
  </cols>
  <sheetData>
    <row r="1" spans="1:23" s="2" customFormat="1" x14ac:dyDescent="0.3">
      <c r="A1" s="1" t="s">
        <v>67</v>
      </c>
      <c r="B1" s="1" t="s">
        <v>30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/>
      <c r="N1" s="1" t="s">
        <v>18</v>
      </c>
      <c r="O1" s="1" t="s">
        <v>20</v>
      </c>
      <c r="P1" s="1" t="s">
        <v>19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17</v>
      </c>
    </row>
    <row r="2" spans="1:23" x14ac:dyDescent="0.3">
      <c r="A2">
        <v>1</v>
      </c>
      <c r="B2">
        <f>A2/30.5</f>
        <v>3.2786885245901641E-2</v>
      </c>
      <c r="D2">
        <v>216073.328519298</v>
      </c>
      <c r="E2">
        <v>623499.31999091804</v>
      </c>
      <c r="F2">
        <v>117388.881195254</v>
      </c>
      <c r="G2">
        <v>481858.94485304301</v>
      </c>
      <c r="H2">
        <v>200015.20602812999</v>
      </c>
      <c r="I2">
        <v>59255.4773468356</v>
      </c>
      <c r="J2">
        <v>491189.99463715998</v>
      </c>
      <c r="K2">
        <v>163571.091574424</v>
      </c>
      <c r="L2">
        <v>53272.648622545901</v>
      </c>
      <c r="N2">
        <f>LN(D2)</f>
        <v>12.283373112940325</v>
      </c>
      <c r="O2">
        <f>LN(E2)</f>
        <v>13.343102953469586</v>
      </c>
      <c r="P2">
        <f>LN(F2)</f>
        <v>11.673247473162307</v>
      </c>
      <c r="Q2">
        <f>LN(G2)</f>
        <v>13.085406704670572</v>
      </c>
      <c r="R2">
        <f>LN(H2)</f>
        <v>12.20614867278068</v>
      </c>
      <c r="S2" cm="1">
        <f t="array" ref="S2:S31">LN(I2:I31)</f>
        <v>10.989613499396963</v>
      </c>
      <c r="T2">
        <f>LN(J2)</f>
        <v>13.104586286383592</v>
      </c>
      <c r="U2">
        <f>LN(K2)</f>
        <v>12.005002985669345</v>
      </c>
      <c r="V2">
        <f>LN(L2)</f>
        <v>10.883178319391098</v>
      </c>
      <c r="W2">
        <f t="shared" ref="W2:W31" si="0">LN(-LN(1-B2))</f>
        <v>-3.4011047779222592</v>
      </c>
    </row>
    <row r="3" spans="1:23" x14ac:dyDescent="0.3">
      <c r="A3">
        <v>2</v>
      </c>
      <c r="B3">
        <f t="shared" ref="B3:B31" si="1">A3/30.5</f>
        <v>6.5573770491803282E-2</v>
      </c>
      <c r="D3">
        <v>601045.99058704695</v>
      </c>
      <c r="E3">
        <v>690522.73911831796</v>
      </c>
      <c r="F3">
        <v>188007.34613239401</v>
      </c>
      <c r="G3">
        <v>1122008.4825275301</v>
      </c>
      <c r="H3">
        <v>294075.61520990799</v>
      </c>
      <c r="I3">
        <v>89090.414203563399</v>
      </c>
      <c r="J3">
        <v>614497.71846154903</v>
      </c>
      <c r="K3">
        <v>225573.65687605899</v>
      </c>
      <c r="L3">
        <v>64680.004372397299</v>
      </c>
      <c r="N3">
        <f t="shared" ref="N3:N31" si="2">LN(D3)</f>
        <v>13.306426734028921</v>
      </c>
      <c r="O3">
        <f t="shared" ref="O3:O31" si="3">LN(E3)</f>
        <v>13.445204182669878</v>
      </c>
      <c r="P3">
        <f t="shared" ref="P3:P31" si="4">LN(F3)</f>
        <v>12.144236316220979</v>
      </c>
      <c r="Q3">
        <f t="shared" ref="Q3:Q31" si="5">LN(G3)</f>
        <v>13.930630925221164</v>
      </c>
      <c r="R3">
        <f t="shared" ref="R3:R31" si="6">LN(H3)</f>
        <v>12.591592207843483</v>
      </c>
      <c r="S3">
        <v>11.397407022974994</v>
      </c>
      <c r="T3">
        <f t="shared" ref="T3:T31" si="7">LN(J3)</f>
        <v>13.328560495144147</v>
      </c>
      <c r="U3">
        <f t="shared" ref="U3:U31" si="8">LN(K3)</f>
        <v>12.326402022621586</v>
      </c>
      <c r="V3">
        <f t="shared" ref="V3:V31" si="9">LN(L3)</f>
        <v>11.077207381291494</v>
      </c>
      <c r="W3">
        <f t="shared" si="0"/>
        <v>-2.6908598602282483</v>
      </c>
    </row>
    <row r="4" spans="1:23" x14ac:dyDescent="0.3">
      <c r="A4">
        <v>3</v>
      </c>
      <c r="B4">
        <f t="shared" si="1"/>
        <v>9.8360655737704916E-2</v>
      </c>
      <c r="D4">
        <v>1220007.34197182</v>
      </c>
      <c r="E4">
        <v>842852.469779209</v>
      </c>
      <c r="F4">
        <v>295638.700809423</v>
      </c>
      <c r="G4">
        <v>1292236.54509046</v>
      </c>
      <c r="H4">
        <v>295867.51492139802</v>
      </c>
      <c r="I4">
        <v>204495.65049722299</v>
      </c>
      <c r="J4">
        <v>686871.790796021</v>
      </c>
      <c r="K4">
        <v>260581.37196946301</v>
      </c>
      <c r="L4">
        <v>100820.73887385101</v>
      </c>
      <c r="N4">
        <f t="shared" si="2"/>
        <v>14.01436743470102</v>
      </c>
      <c r="O4">
        <f t="shared" si="3"/>
        <v>13.644547215475512</v>
      </c>
      <c r="P4">
        <f t="shared" si="4"/>
        <v>12.596893382387147</v>
      </c>
      <c r="Q4">
        <f t="shared" si="5"/>
        <v>14.071885031002115</v>
      </c>
      <c r="R4">
        <f t="shared" si="6"/>
        <v>12.597667048385249</v>
      </c>
      <c r="S4">
        <v>12.228301985276572</v>
      </c>
      <c r="T4">
        <f t="shared" si="7"/>
        <v>13.439902931948611</v>
      </c>
      <c r="U4">
        <f t="shared" si="8"/>
        <v>12.470670459803554</v>
      </c>
      <c r="V4">
        <f t="shared" si="9"/>
        <v>11.5210993562534</v>
      </c>
      <c r="W4">
        <f t="shared" si="0"/>
        <v>-2.267790710249213</v>
      </c>
    </row>
    <row r="5" spans="1:23" x14ac:dyDescent="0.3">
      <c r="A5">
        <v>4</v>
      </c>
      <c r="B5">
        <f t="shared" si="1"/>
        <v>0.13114754098360656</v>
      </c>
      <c r="D5">
        <v>2586928.9923260398</v>
      </c>
      <c r="E5">
        <v>849753.72796145896</v>
      </c>
      <c r="F5">
        <v>297192.26928034099</v>
      </c>
      <c r="G5">
        <v>1305318.7937214701</v>
      </c>
      <c r="H5">
        <v>328619.76182208501</v>
      </c>
      <c r="I5">
        <v>228021.793307304</v>
      </c>
      <c r="J5">
        <v>768657.45505621703</v>
      </c>
      <c r="K5">
        <v>305390.853464866</v>
      </c>
      <c r="L5">
        <v>106058.15271742899</v>
      </c>
      <c r="N5">
        <f t="shared" si="2"/>
        <v>14.76598201290822</v>
      </c>
      <c r="O5">
        <f t="shared" si="3"/>
        <v>13.652701854676081</v>
      </c>
      <c r="P5">
        <f t="shared" si="4"/>
        <v>12.602134579644698</v>
      </c>
      <c r="Q5">
        <f t="shared" si="5"/>
        <v>14.081957855282477</v>
      </c>
      <c r="R5">
        <f t="shared" si="6"/>
        <v>12.702656622223394</v>
      </c>
      <c r="S5">
        <v>12.337196488049811</v>
      </c>
      <c r="T5">
        <f t="shared" si="7"/>
        <v>13.552400707189459</v>
      </c>
      <c r="U5">
        <f t="shared" si="8"/>
        <v>12.629347721956247</v>
      </c>
      <c r="V5">
        <f t="shared" si="9"/>
        <v>11.57174283320424</v>
      </c>
      <c r="W5">
        <f t="shared" si="0"/>
        <v>-1.9619646818064604</v>
      </c>
    </row>
    <row r="6" spans="1:23" x14ac:dyDescent="0.3">
      <c r="A6">
        <v>5</v>
      </c>
      <c r="B6">
        <f t="shared" si="1"/>
        <v>0.16393442622950818</v>
      </c>
      <c r="D6">
        <v>2767504.01118882</v>
      </c>
      <c r="E6">
        <v>1309016.7027974899</v>
      </c>
      <c r="F6">
        <v>374838.19826971798</v>
      </c>
      <c r="G6">
        <v>1308519.5138266201</v>
      </c>
      <c r="H6">
        <v>370796.668874364</v>
      </c>
      <c r="I6">
        <v>253904.70802847599</v>
      </c>
      <c r="J6">
        <v>834644.47029130696</v>
      </c>
      <c r="K6">
        <v>329847.603402037</v>
      </c>
      <c r="L6">
        <v>106642.373481409</v>
      </c>
      <c r="N6">
        <f t="shared" si="2"/>
        <v>14.833456392954599</v>
      </c>
      <c r="O6">
        <f t="shared" si="3"/>
        <v>14.084786804778155</v>
      </c>
      <c r="P6">
        <f t="shared" si="4"/>
        <v>12.83424974056128</v>
      </c>
      <c r="Q6">
        <f t="shared" si="5"/>
        <v>14.084406913968092</v>
      </c>
      <c r="R6">
        <f t="shared" si="6"/>
        <v>12.823409129015264</v>
      </c>
      <c r="S6">
        <v>12.444714310366367</v>
      </c>
      <c r="T6">
        <f t="shared" si="7"/>
        <v>13.634761129078944</v>
      </c>
      <c r="U6">
        <f t="shared" si="8"/>
        <v>12.706386018903951</v>
      </c>
      <c r="V6">
        <f t="shared" si="9"/>
        <v>11.577236211557356</v>
      </c>
      <c r="W6">
        <f t="shared" si="0"/>
        <v>-1.7201000600006888</v>
      </c>
    </row>
    <row r="7" spans="1:23" x14ac:dyDescent="0.3">
      <c r="A7">
        <v>6</v>
      </c>
      <c r="B7">
        <f t="shared" si="1"/>
        <v>0.19672131147540983</v>
      </c>
      <c r="D7">
        <v>3046077.51436939</v>
      </c>
      <c r="E7">
        <v>1735062.4411435099</v>
      </c>
      <c r="F7">
        <v>393602.90612952202</v>
      </c>
      <c r="G7">
        <v>1354479.3595748199</v>
      </c>
      <c r="H7">
        <v>473360.30092675198</v>
      </c>
      <c r="I7">
        <v>276926.86718472</v>
      </c>
      <c r="J7">
        <v>845376.65323403804</v>
      </c>
      <c r="K7">
        <v>350653.28920249798</v>
      </c>
      <c r="L7">
        <v>135944.36972685001</v>
      </c>
      <c r="N7">
        <f t="shared" si="2"/>
        <v>14.929365260035116</v>
      </c>
      <c r="O7">
        <f t="shared" si="3"/>
        <v>14.366553959847209</v>
      </c>
      <c r="P7">
        <f t="shared" si="4"/>
        <v>12.883097827592129</v>
      </c>
      <c r="Q7">
        <f t="shared" si="5"/>
        <v>14.118927701982042</v>
      </c>
      <c r="R7">
        <f t="shared" si="6"/>
        <v>13.067612113075302</v>
      </c>
      <c r="S7">
        <v>12.531508732927069</v>
      </c>
      <c r="T7">
        <f t="shared" si="7"/>
        <v>13.647537550497436</v>
      </c>
      <c r="U7">
        <f t="shared" si="8"/>
        <v>12.767553234221927</v>
      </c>
      <c r="V7">
        <f t="shared" si="9"/>
        <v>11.820001034909899</v>
      </c>
      <c r="W7">
        <f t="shared" si="0"/>
        <v>-1.5184389851803086</v>
      </c>
    </row>
    <row r="8" spans="1:23" x14ac:dyDescent="0.3">
      <c r="A8">
        <v>7</v>
      </c>
      <c r="B8">
        <f t="shared" si="1"/>
        <v>0.22950819672131148</v>
      </c>
      <c r="D8">
        <v>4339006.9665672202</v>
      </c>
      <c r="E8">
        <v>1771961.62900721</v>
      </c>
      <c r="F8">
        <v>406312.40077861998</v>
      </c>
      <c r="G8">
        <v>1449520.0422100399</v>
      </c>
      <c r="H8">
        <v>483488.67342856299</v>
      </c>
      <c r="I8">
        <v>312135.91617736599</v>
      </c>
      <c r="J8">
        <v>986023.154468389</v>
      </c>
      <c r="K8">
        <v>353605.44646082498</v>
      </c>
      <c r="L8">
        <v>139864.56996823801</v>
      </c>
      <c r="N8">
        <f t="shared" si="2"/>
        <v>15.283156070348966</v>
      </c>
      <c r="O8">
        <f t="shared" si="3"/>
        <v>14.387597755853575</v>
      </c>
      <c r="P8">
        <f t="shared" si="4"/>
        <v>12.91487760274712</v>
      </c>
      <c r="Q8">
        <f t="shared" si="5"/>
        <v>14.18674305423</v>
      </c>
      <c r="R8">
        <f t="shared" si="6"/>
        <v>13.088783167393359</v>
      </c>
      <c r="S8">
        <v>12.651194000706562</v>
      </c>
      <c r="T8">
        <f t="shared" si="7"/>
        <v>13.801435116542706</v>
      </c>
      <c r="U8">
        <f t="shared" si="8"/>
        <v>12.775937012513952</v>
      </c>
      <c r="V8">
        <f t="shared" si="9"/>
        <v>11.848429876029609</v>
      </c>
      <c r="W8">
        <f t="shared" si="0"/>
        <v>-1.34428422486077</v>
      </c>
    </row>
    <row r="9" spans="1:23" x14ac:dyDescent="0.3">
      <c r="A9">
        <v>8</v>
      </c>
      <c r="B9">
        <f t="shared" si="1"/>
        <v>0.26229508196721313</v>
      </c>
      <c r="D9">
        <v>4460090.67862703</v>
      </c>
      <c r="E9">
        <v>1908270.18310357</v>
      </c>
      <c r="F9">
        <v>463192.65625075001</v>
      </c>
      <c r="G9">
        <v>1608015.7080594001</v>
      </c>
      <c r="H9">
        <v>643160.05788221397</v>
      </c>
      <c r="I9">
        <v>342471.923761816</v>
      </c>
      <c r="J9">
        <v>1035677.1176341</v>
      </c>
      <c r="K9">
        <v>357336.94479494903</v>
      </c>
      <c r="L9">
        <v>143641.50161240899</v>
      </c>
      <c r="N9">
        <f t="shared" si="2"/>
        <v>15.310679655320289</v>
      </c>
      <c r="O9">
        <f t="shared" si="3"/>
        <v>14.461707726365464</v>
      </c>
      <c r="P9">
        <f t="shared" si="4"/>
        <v>13.045898350734303</v>
      </c>
      <c r="Q9">
        <f t="shared" si="5"/>
        <v>14.290511497366992</v>
      </c>
      <c r="R9">
        <f t="shared" si="6"/>
        <v>13.374148895854946</v>
      </c>
      <c r="S9">
        <v>12.743944958906276</v>
      </c>
      <c r="T9">
        <f t="shared" si="7"/>
        <v>13.850565990709363</v>
      </c>
      <c r="U9">
        <f t="shared" si="8"/>
        <v>12.786434438595984</v>
      </c>
      <c r="V9">
        <f t="shared" si="9"/>
        <v>11.875075902284324</v>
      </c>
      <c r="W9">
        <f t="shared" si="0"/>
        <v>-1.1900325086561372</v>
      </c>
    </row>
    <row r="10" spans="1:23" x14ac:dyDescent="0.3">
      <c r="A10">
        <v>9</v>
      </c>
      <c r="B10">
        <f t="shared" si="1"/>
        <v>0.29508196721311475</v>
      </c>
      <c r="D10">
        <v>4730051.8486664696</v>
      </c>
      <c r="E10">
        <v>1970177.2948954101</v>
      </c>
      <c r="F10">
        <v>486916.77205652802</v>
      </c>
      <c r="G10">
        <v>1671628.9990535399</v>
      </c>
      <c r="H10">
        <v>828851.56772338995</v>
      </c>
      <c r="I10">
        <v>395414.60871342802</v>
      </c>
      <c r="J10">
        <v>1122614.0185604901</v>
      </c>
      <c r="K10">
        <v>371436.942914213</v>
      </c>
      <c r="L10">
        <v>146257.34378365401</v>
      </c>
      <c r="N10">
        <f t="shared" si="2"/>
        <v>15.369446722071139</v>
      </c>
      <c r="O10">
        <f t="shared" si="3"/>
        <v>14.493634094073485</v>
      </c>
      <c r="P10">
        <f t="shared" si="4"/>
        <v>13.095848488191873</v>
      </c>
      <c r="Q10">
        <f t="shared" si="5"/>
        <v>14.329309157487224</v>
      </c>
      <c r="R10">
        <f t="shared" si="6"/>
        <v>13.627796368295261</v>
      </c>
      <c r="S10">
        <v>12.887690135706421</v>
      </c>
      <c r="T10">
        <f t="shared" si="7"/>
        <v>13.931170468995102</v>
      </c>
      <c r="U10">
        <f t="shared" si="8"/>
        <v>12.825134392297596</v>
      </c>
      <c r="V10">
        <f t="shared" si="9"/>
        <v>11.893122977738754</v>
      </c>
      <c r="W10">
        <f t="shared" si="0"/>
        <v>-1.0507547064187666</v>
      </c>
    </row>
    <row r="11" spans="1:23" x14ac:dyDescent="0.3">
      <c r="A11">
        <v>10</v>
      </c>
      <c r="B11">
        <f t="shared" si="1"/>
        <v>0.32786885245901637</v>
      </c>
      <c r="D11">
        <v>4932850.2258125097</v>
      </c>
      <c r="E11">
        <v>2049614.7217236401</v>
      </c>
      <c r="F11">
        <v>562725.61688403401</v>
      </c>
      <c r="G11">
        <v>1764479.3744290799</v>
      </c>
      <c r="H11">
        <v>836188.47321455798</v>
      </c>
      <c r="I11">
        <v>407988.78916659899</v>
      </c>
      <c r="J11">
        <v>1215585.07706934</v>
      </c>
      <c r="K11">
        <v>438426.825486777</v>
      </c>
      <c r="L11">
        <v>158549.35595015</v>
      </c>
      <c r="N11">
        <f t="shared" si="2"/>
        <v>15.411427518070886</v>
      </c>
      <c r="O11">
        <f t="shared" si="3"/>
        <v>14.533162392828924</v>
      </c>
      <c r="P11">
        <f t="shared" si="4"/>
        <v>13.240547429325668</v>
      </c>
      <c r="Q11">
        <f t="shared" si="5"/>
        <v>14.383366232841883</v>
      </c>
      <c r="R11">
        <f t="shared" si="6"/>
        <v>13.636609313086508</v>
      </c>
      <c r="S11">
        <v>12.91899497547594</v>
      </c>
      <c r="T11">
        <f t="shared" si="7"/>
        <v>14.010736063764279</v>
      </c>
      <c r="U11">
        <f t="shared" si="8"/>
        <v>12.990948202266699</v>
      </c>
      <c r="V11">
        <f t="shared" si="9"/>
        <v>11.973821217833677</v>
      </c>
      <c r="W11">
        <f t="shared" si="0"/>
        <v>-0.92305909196088587</v>
      </c>
    </row>
    <row r="12" spans="1:23" x14ac:dyDescent="0.3">
      <c r="A12">
        <v>11</v>
      </c>
      <c r="B12">
        <f t="shared" si="1"/>
        <v>0.36065573770491804</v>
      </c>
      <c r="D12">
        <v>5030931.5899534998</v>
      </c>
      <c r="E12">
        <v>2315225.4955505999</v>
      </c>
      <c r="F12">
        <v>569279.79126876895</v>
      </c>
      <c r="G12">
        <v>1951847.3506976899</v>
      </c>
      <c r="H12">
        <v>992872.27950548194</v>
      </c>
      <c r="I12">
        <v>422914.54820845701</v>
      </c>
      <c r="J12">
        <v>1312339.84231422</v>
      </c>
      <c r="K12">
        <v>456297.66977713298</v>
      </c>
      <c r="L12">
        <v>185300.208460897</v>
      </c>
      <c r="N12">
        <f t="shared" si="2"/>
        <v>15.431115731677467</v>
      </c>
      <c r="O12">
        <f t="shared" si="3"/>
        <v>14.655017647044144</v>
      </c>
      <c r="P12">
        <f t="shared" si="4"/>
        <v>13.25212731680125</v>
      </c>
      <c r="Q12">
        <f t="shared" si="5"/>
        <v>14.484286841410439</v>
      </c>
      <c r="R12">
        <f t="shared" si="6"/>
        <v>13.80835731391454</v>
      </c>
      <c r="S12">
        <v>12.954925423929311</v>
      </c>
      <c r="T12">
        <f t="shared" si="7"/>
        <v>14.087322241098819</v>
      </c>
      <c r="U12">
        <f t="shared" si="8"/>
        <v>13.03090066012431</v>
      </c>
      <c r="V12">
        <f t="shared" si="9"/>
        <v>12.129732537264168</v>
      </c>
      <c r="W12">
        <f t="shared" si="0"/>
        <v>-0.80449845381764873</v>
      </c>
    </row>
    <row r="13" spans="1:23" x14ac:dyDescent="0.3">
      <c r="A13">
        <v>12</v>
      </c>
      <c r="B13">
        <f t="shared" si="1"/>
        <v>0.39344262295081966</v>
      </c>
      <c r="D13">
        <v>6227228.2633451801</v>
      </c>
      <c r="E13">
        <v>2579292.86534137</v>
      </c>
      <c r="F13">
        <v>614208.40027876303</v>
      </c>
      <c r="G13">
        <v>2326104.6219612299</v>
      </c>
      <c r="H13">
        <v>1024951.73548446</v>
      </c>
      <c r="I13">
        <v>460588.333213637</v>
      </c>
      <c r="J13">
        <v>1511940.10546137</v>
      </c>
      <c r="K13">
        <v>479903.501179752</v>
      </c>
      <c r="L13">
        <v>223326.71653836401</v>
      </c>
      <c r="N13">
        <f t="shared" si="2"/>
        <v>15.644441890215846</v>
      </c>
      <c r="O13">
        <f t="shared" si="3"/>
        <v>14.763025836129115</v>
      </c>
      <c r="P13">
        <f t="shared" si="4"/>
        <v>13.328089563676127</v>
      </c>
      <c r="Q13">
        <f t="shared" si="5"/>
        <v>14.659705590396253</v>
      </c>
      <c r="R13">
        <f t="shared" si="6"/>
        <v>13.840156082113769</v>
      </c>
      <c r="S13">
        <v>13.040259936507404</v>
      </c>
      <c r="T13">
        <f t="shared" si="7"/>
        <v>14.228904222146909</v>
      </c>
      <c r="U13">
        <f t="shared" si="8"/>
        <v>13.081340323464133</v>
      </c>
      <c r="V13">
        <f t="shared" si="9"/>
        <v>12.316391074819977</v>
      </c>
      <c r="W13">
        <f t="shared" si="0"/>
        <v>-0.69323528138253521</v>
      </c>
    </row>
    <row r="14" spans="1:23" x14ac:dyDescent="0.3">
      <c r="A14">
        <v>13</v>
      </c>
      <c r="B14">
        <f t="shared" si="1"/>
        <v>0.42622950819672129</v>
      </c>
      <c r="D14">
        <v>7033024.2117488403</v>
      </c>
      <c r="E14">
        <v>2711553.2228576802</v>
      </c>
      <c r="F14">
        <v>718840.92516432703</v>
      </c>
      <c r="G14">
        <v>2379180.95198827</v>
      </c>
      <c r="H14">
        <v>1026001.8350883001</v>
      </c>
      <c r="I14">
        <v>489541.61222526198</v>
      </c>
      <c r="J14">
        <v>1664087.80238353</v>
      </c>
      <c r="K14">
        <v>542853.72042705398</v>
      </c>
      <c r="L14">
        <v>236931.525557863</v>
      </c>
      <c r="N14">
        <f t="shared" si="2"/>
        <v>15.766127357876131</v>
      </c>
      <c r="O14">
        <f t="shared" si="3"/>
        <v>14.813032173636973</v>
      </c>
      <c r="P14">
        <f t="shared" si="4"/>
        <v>13.485395367669122</v>
      </c>
      <c r="Q14">
        <f t="shared" si="5"/>
        <v>14.682266848598594</v>
      </c>
      <c r="R14">
        <f t="shared" si="6"/>
        <v>13.841180093296341</v>
      </c>
      <c r="S14">
        <v>13.101224746992829</v>
      </c>
      <c r="T14">
        <f t="shared" si="7"/>
        <v>14.324787664826708</v>
      </c>
      <c r="U14">
        <f t="shared" si="8"/>
        <v>13.204595171144948</v>
      </c>
      <c r="V14">
        <f t="shared" si="9"/>
        <v>12.375526456674573</v>
      </c>
      <c r="W14">
        <f t="shared" si="0"/>
        <v>-0.58784022150523252</v>
      </c>
    </row>
    <row r="15" spans="1:23" x14ac:dyDescent="0.3">
      <c r="A15">
        <v>14</v>
      </c>
      <c r="B15">
        <f t="shared" si="1"/>
        <v>0.45901639344262296</v>
      </c>
      <c r="D15">
        <v>7171734.8471251996</v>
      </c>
      <c r="E15">
        <v>2783143.82269589</v>
      </c>
      <c r="F15">
        <v>788695.09448895801</v>
      </c>
      <c r="G15">
        <v>2787401.1450668699</v>
      </c>
      <c r="H15">
        <v>1037426.50273468</v>
      </c>
      <c r="I15">
        <v>498182.71499074</v>
      </c>
      <c r="J15">
        <v>1696518.3481328101</v>
      </c>
      <c r="K15">
        <v>546931.35608987603</v>
      </c>
      <c r="L15">
        <v>253820.81622594001</v>
      </c>
      <c r="N15">
        <f t="shared" si="2"/>
        <v>15.785658142461156</v>
      </c>
      <c r="O15">
        <f t="shared" si="3"/>
        <v>14.839091718186689</v>
      </c>
      <c r="P15">
        <f t="shared" si="4"/>
        <v>13.578135079624072</v>
      </c>
      <c r="Q15">
        <f t="shared" si="5"/>
        <v>14.84062023046852</v>
      </c>
      <c r="R15">
        <f t="shared" si="6"/>
        <v>13.852253687840008</v>
      </c>
      <c r="S15">
        <v>13.118722186288101</v>
      </c>
      <c r="T15">
        <f t="shared" si="7"/>
        <v>14.344088678434003</v>
      </c>
      <c r="U15">
        <f t="shared" si="8"/>
        <v>13.212078581920386</v>
      </c>
      <c r="V15">
        <f t="shared" si="9"/>
        <v>12.444383849125828</v>
      </c>
      <c r="W15">
        <f t="shared" si="0"/>
        <v>-0.48716394450753059</v>
      </c>
    </row>
    <row r="16" spans="1:23" x14ac:dyDescent="0.3">
      <c r="A16">
        <v>15</v>
      </c>
      <c r="B16">
        <f t="shared" si="1"/>
        <v>0.49180327868852458</v>
      </c>
      <c r="D16">
        <v>7361573.8689611498</v>
      </c>
      <c r="E16">
        <v>2879154.5253046099</v>
      </c>
      <c r="F16">
        <v>820465.83394170203</v>
      </c>
      <c r="G16">
        <v>2961019.9329033801</v>
      </c>
      <c r="H16">
        <v>1048963.8570841299</v>
      </c>
      <c r="I16">
        <v>627529.44810899196</v>
      </c>
      <c r="J16">
        <v>1810190.7905809099</v>
      </c>
      <c r="K16">
        <v>586024.57112251699</v>
      </c>
      <c r="L16">
        <v>259454.74369273201</v>
      </c>
      <c r="N16">
        <f t="shared" si="2"/>
        <v>15.811784308735815</v>
      </c>
      <c r="O16">
        <f t="shared" si="3"/>
        <v>14.873007241410159</v>
      </c>
      <c r="P16">
        <f t="shared" si="4"/>
        <v>13.617627548111107</v>
      </c>
      <c r="Q16">
        <f t="shared" si="5"/>
        <v>14.901044338875788</v>
      </c>
      <c r="R16">
        <f t="shared" si="6"/>
        <v>13.863313432146279</v>
      </c>
      <c r="S16">
        <v>13.349545878144291</v>
      </c>
      <c r="T16">
        <f t="shared" si="7"/>
        <v>14.408942806847577</v>
      </c>
      <c r="U16">
        <f t="shared" si="8"/>
        <v>13.281116997923304</v>
      </c>
      <c r="V16">
        <f t="shared" si="9"/>
        <v>12.466337568277737</v>
      </c>
      <c r="W16">
        <f t="shared" si="0"/>
        <v>-0.39025143561248848</v>
      </c>
    </row>
    <row r="17" spans="1:23" x14ac:dyDescent="0.3">
      <c r="A17">
        <v>16</v>
      </c>
      <c r="B17">
        <f t="shared" si="1"/>
        <v>0.52459016393442626</v>
      </c>
      <c r="D17">
        <v>7721385.0975822201</v>
      </c>
      <c r="E17">
        <v>2954649.0127050099</v>
      </c>
      <c r="F17">
        <v>833065.33090923796</v>
      </c>
      <c r="G17">
        <v>3089781.0837782202</v>
      </c>
      <c r="H17">
        <v>1058899.7760117301</v>
      </c>
      <c r="I17">
        <v>638642.65942771896</v>
      </c>
      <c r="J17">
        <v>1938330.8351878</v>
      </c>
      <c r="K17">
        <v>666754.67859884806</v>
      </c>
      <c r="L17">
        <v>282993.345281747</v>
      </c>
      <c r="N17">
        <f t="shared" si="2"/>
        <v>15.859504322692954</v>
      </c>
      <c r="O17">
        <f t="shared" si="3"/>
        <v>14.898890424341346</v>
      </c>
      <c r="P17">
        <f t="shared" si="4"/>
        <v>13.632867346536099</v>
      </c>
      <c r="Q17">
        <f t="shared" si="5"/>
        <v>14.943610799690468</v>
      </c>
      <c r="R17">
        <f t="shared" si="6"/>
        <v>13.872740979889324</v>
      </c>
      <c r="S17">
        <v>13.367100358515756</v>
      </c>
      <c r="T17">
        <f t="shared" si="7"/>
        <v>14.477337766454852</v>
      </c>
      <c r="U17">
        <f t="shared" si="8"/>
        <v>13.410177459040787</v>
      </c>
      <c r="V17">
        <f t="shared" si="9"/>
        <v>12.553178661443408</v>
      </c>
      <c r="W17">
        <f t="shared" si="0"/>
        <v>-0.29628156339520606</v>
      </c>
    </row>
    <row r="18" spans="1:23" x14ac:dyDescent="0.3">
      <c r="A18">
        <v>17</v>
      </c>
      <c r="B18">
        <f t="shared" si="1"/>
        <v>0.55737704918032782</v>
      </c>
      <c r="D18">
        <v>8131435.8413168499</v>
      </c>
      <c r="E18">
        <v>3011211.0576727702</v>
      </c>
      <c r="F18">
        <v>943687.18389479595</v>
      </c>
      <c r="G18">
        <v>3099664.2163084098</v>
      </c>
      <c r="H18">
        <v>1411087.44484934</v>
      </c>
      <c r="I18">
        <v>648886.02793594799</v>
      </c>
      <c r="J18">
        <v>1975055.9170192101</v>
      </c>
      <c r="K18">
        <v>726456.90738033794</v>
      </c>
      <c r="L18">
        <v>293922.18022399402</v>
      </c>
      <c r="N18">
        <f t="shared" si="2"/>
        <v>15.911248076178314</v>
      </c>
      <c r="O18">
        <f t="shared" si="3"/>
        <v>14.917852900547901</v>
      </c>
      <c r="P18">
        <f t="shared" si="4"/>
        <v>13.757550017218675</v>
      </c>
      <c r="Q18">
        <f t="shared" si="5"/>
        <v>14.946804346268763</v>
      </c>
      <c r="R18">
        <f t="shared" si="6"/>
        <v>14.15987120258535</v>
      </c>
      <c r="S18">
        <v>13.383012368455651</v>
      </c>
      <c r="T18">
        <f t="shared" si="7"/>
        <v>14.496107268331361</v>
      </c>
      <c r="U18">
        <f t="shared" si="8"/>
        <v>13.495934444858628</v>
      </c>
      <c r="V18">
        <f t="shared" si="9"/>
        <v>12.591070318167747</v>
      </c>
      <c r="W18">
        <f t="shared" si="0"/>
        <v>-0.20452177024530704</v>
      </c>
    </row>
    <row r="19" spans="1:23" x14ac:dyDescent="0.3">
      <c r="A19">
        <v>18</v>
      </c>
      <c r="B19">
        <f t="shared" si="1"/>
        <v>0.5901639344262295</v>
      </c>
      <c r="D19">
        <v>9622791.7298217397</v>
      </c>
      <c r="E19">
        <v>3789720.20898963</v>
      </c>
      <c r="F19">
        <v>1011432.36742914</v>
      </c>
      <c r="G19">
        <v>3501973.0332308901</v>
      </c>
      <c r="H19">
        <v>1414269.95694061</v>
      </c>
      <c r="I19">
        <v>659535.48790938803</v>
      </c>
      <c r="J19">
        <v>2142434.95224817</v>
      </c>
      <c r="K19">
        <v>749479.48124523705</v>
      </c>
      <c r="L19">
        <v>316280.25337311899</v>
      </c>
      <c r="N19">
        <f t="shared" si="2"/>
        <v>16.079644981147009</v>
      </c>
      <c r="O19">
        <f t="shared" si="3"/>
        <v>15.147802750847935</v>
      </c>
      <c r="P19">
        <f t="shared" si="4"/>
        <v>13.826878069715454</v>
      </c>
      <c r="Q19">
        <f t="shared" si="5"/>
        <v>15.068837091407335</v>
      </c>
      <c r="R19">
        <f t="shared" si="6"/>
        <v>14.162124024430293</v>
      </c>
      <c r="S19">
        <v>13.399291060016859</v>
      </c>
      <c r="T19">
        <f t="shared" si="7"/>
        <v>14.577453568315544</v>
      </c>
      <c r="U19">
        <f t="shared" si="8"/>
        <v>13.527134219559299</v>
      </c>
      <c r="V19">
        <f t="shared" si="9"/>
        <v>12.664383977288372</v>
      </c>
      <c r="W19">
        <f t="shared" si="0"/>
        <v>-0.11429134449298467</v>
      </c>
    </row>
    <row r="20" spans="1:23" x14ac:dyDescent="0.3">
      <c r="A20">
        <v>19</v>
      </c>
      <c r="B20">
        <f t="shared" si="1"/>
        <v>0.62295081967213117</v>
      </c>
      <c r="D20">
        <v>10468534.565943601</v>
      </c>
      <c r="E20">
        <v>4679279.93590583</v>
      </c>
      <c r="F20">
        <v>1407019.3072748899</v>
      </c>
      <c r="G20">
        <v>3920201.3529758798</v>
      </c>
      <c r="H20">
        <v>1416413.7452584901</v>
      </c>
      <c r="I20">
        <v>707927.281407509</v>
      </c>
      <c r="J20">
        <v>2226522.61232964</v>
      </c>
      <c r="K20">
        <v>776385.09168928198</v>
      </c>
      <c r="L20">
        <v>329590.11659592902</v>
      </c>
      <c r="N20">
        <f t="shared" si="2"/>
        <v>16.163884608002331</v>
      </c>
      <c r="O20">
        <f t="shared" si="3"/>
        <v>15.358654796207007</v>
      </c>
      <c r="P20">
        <f t="shared" si="4"/>
        <v>14.156984058301516</v>
      </c>
      <c r="Q20">
        <f t="shared" si="5"/>
        <v>15.181653576002551</v>
      </c>
      <c r="R20">
        <f t="shared" si="6"/>
        <v>14.163638703534907</v>
      </c>
      <c r="S20">
        <v>13.470096657524437</v>
      </c>
      <c r="T20">
        <f t="shared" si="7"/>
        <v>14.615951559690364</v>
      </c>
      <c r="U20">
        <f t="shared" si="8"/>
        <v>13.562403928249875</v>
      </c>
      <c r="V20">
        <f t="shared" si="9"/>
        <v>12.705605090511822</v>
      </c>
      <c r="W20">
        <f t="shared" si="0"/>
        <v>-2.4928500959579672E-2</v>
      </c>
    </row>
    <row r="21" spans="1:23" x14ac:dyDescent="0.3">
      <c r="A21">
        <v>20</v>
      </c>
      <c r="B21">
        <f t="shared" si="1"/>
        <v>0.65573770491803274</v>
      </c>
      <c r="D21">
        <v>10641738.137818599</v>
      </c>
      <c r="E21">
        <v>5073826.20700326</v>
      </c>
      <c r="F21">
        <v>1441989.7854575601</v>
      </c>
      <c r="G21">
        <v>4450446.8069970198</v>
      </c>
      <c r="H21">
        <v>1437177.62919317</v>
      </c>
      <c r="I21">
        <v>778715.15119106404</v>
      </c>
      <c r="J21">
        <v>2274247.2623022799</v>
      </c>
      <c r="K21">
        <v>782581.30950685905</v>
      </c>
      <c r="L21">
        <v>332576.28537716001</v>
      </c>
      <c r="N21">
        <f t="shared" si="2"/>
        <v>16.180294387353712</v>
      </c>
      <c r="O21">
        <f t="shared" si="3"/>
        <v>15.439605766880197</v>
      </c>
      <c r="P21">
        <f t="shared" si="4"/>
        <v>14.181534513208018</v>
      </c>
      <c r="Q21">
        <f t="shared" si="5"/>
        <v>15.308515055168817</v>
      </c>
      <c r="R21">
        <f t="shared" si="6"/>
        <v>14.178191768551491</v>
      </c>
      <c r="S21">
        <v>13.565400598408107</v>
      </c>
      <c r="T21">
        <f t="shared" si="7"/>
        <v>14.637159681903119</v>
      </c>
      <c r="U21">
        <f t="shared" si="8"/>
        <v>13.570353105911103</v>
      </c>
      <c r="V21">
        <f t="shared" si="9"/>
        <v>12.714624542468821</v>
      </c>
      <c r="W21">
        <f t="shared" si="0"/>
        <v>6.4242939754468029E-2</v>
      </c>
    </row>
    <row r="22" spans="1:23" x14ac:dyDescent="0.3">
      <c r="A22">
        <v>21</v>
      </c>
      <c r="B22">
        <f t="shared" si="1"/>
        <v>0.68852459016393441</v>
      </c>
      <c r="D22">
        <v>12912694.8098961</v>
      </c>
      <c r="E22">
        <v>5610514.2213597298</v>
      </c>
      <c r="F22">
        <v>1447669.57613918</v>
      </c>
      <c r="G22">
        <v>4800787.5815272601</v>
      </c>
      <c r="H22">
        <v>1722409.30851111</v>
      </c>
      <c r="I22">
        <v>793054.092545336</v>
      </c>
      <c r="J22">
        <v>2338237.2579952502</v>
      </c>
      <c r="K22">
        <v>844575.21685948898</v>
      </c>
      <c r="L22">
        <v>335608.01691947301</v>
      </c>
      <c r="N22">
        <f t="shared" si="2"/>
        <v>16.373721479219448</v>
      </c>
      <c r="O22">
        <f t="shared" si="3"/>
        <v>15.540152934859664</v>
      </c>
      <c r="P22">
        <f t="shared" si="4"/>
        <v>14.185465632613704</v>
      </c>
      <c r="Q22">
        <f t="shared" si="5"/>
        <v>15.384290541903399</v>
      </c>
      <c r="R22">
        <f t="shared" si="6"/>
        <v>14.359234629401749</v>
      </c>
      <c r="S22">
        <v>13.583646710832022</v>
      </c>
      <c r="T22">
        <f t="shared" si="7"/>
        <v>14.664907894905387</v>
      </c>
      <c r="U22">
        <f t="shared" si="8"/>
        <v>13.646589078000895</v>
      </c>
      <c r="V22">
        <f t="shared" si="9"/>
        <v>12.723699141607725</v>
      </c>
      <c r="W22">
        <f t="shared" si="0"/>
        <v>0.15395199009564994</v>
      </c>
    </row>
    <row r="23" spans="1:23" x14ac:dyDescent="0.3">
      <c r="A23">
        <v>22</v>
      </c>
      <c r="B23">
        <f t="shared" si="1"/>
        <v>0.72131147540983609</v>
      </c>
      <c r="D23">
        <v>13761607.1776323</v>
      </c>
      <c r="E23">
        <v>6016461.8438355997</v>
      </c>
      <c r="F23">
        <v>1449427.0550214101</v>
      </c>
      <c r="G23">
        <v>4904157.06101349</v>
      </c>
      <c r="H23">
        <v>1740748.1779282501</v>
      </c>
      <c r="I23">
        <v>796176.63894854602</v>
      </c>
      <c r="J23">
        <v>2425757.2715650201</v>
      </c>
      <c r="K23">
        <v>875809.85992890503</v>
      </c>
      <c r="L23">
        <v>351824.64462196099</v>
      </c>
      <c r="N23">
        <f t="shared" si="2"/>
        <v>16.437393184348824</v>
      </c>
      <c r="O23">
        <f t="shared" si="3"/>
        <v>15.610009910919793</v>
      </c>
      <c r="P23">
        <f t="shared" si="4"/>
        <v>14.186678901842569</v>
      </c>
      <c r="Q23">
        <f t="shared" si="5"/>
        <v>15.405593783208795</v>
      </c>
      <c r="R23">
        <f t="shared" si="6"/>
        <v>14.369825566087744</v>
      </c>
      <c r="S23">
        <v>13.587576348435348</v>
      </c>
      <c r="T23">
        <f t="shared" si="7"/>
        <v>14.701654310539457</v>
      </c>
      <c r="U23">
        <f t="shared" si="8"/>
        <v>13.68290429148303</v>
      </c>
      <c r="V23">
        <f t="shared" si="9"/>
        <v>12.770888161765377</v>
      </c>
      <c r="W23">
        <f t="shared" si="0"/>
        <v>0.24503068695726662</v>
      </c>
    </row>
    <row r="24" spans="1:23" x14ac:dyDescent="0.3">
      <c r="A24">
        <v>23</v>
      </c>
      <c r="B24">
        <f t="shared" si="1"/>
        <v>0.75409836065573765</v>
      </c>
      <c r="D24">
        <v>13763709.4933205</v>
      </c>
      <c r="E24">
        <v>6352185.2894510003</v>
      </c>
      <c r="F24">
        <v>1457098.29255688</v>
      </c>
      <c r="G24">
        <v>5416798.8424701598</v>
      </c>
      <c r="H24">
        <v>1783265.5222756299</v>
      </c>
      <c r="I24">
        <v>808825.86178179202</v>
      </c>
      <c r="J24">
        <v>2721658.70581003</v>
      </c>
      <c r="K24">
        <v>877109.95788369502</v>
      </c>
      <c r="L24">
        <v>370777.75385247503</v>
      </c>
      <c r="N24">
        <f t="shared" si="2"/>
        <v>16.437545939408277</v>
      </c>
      <c r="O24">
        <f t="shared" si="3"/>
        <v>15.664309451737287</v>
      </c>
      <c r="P24">
        <f t="shared" si="4"/>
        <v>14.191957545192103</v>
      </c>
      <c r="Q24">
        <f t="shared" si="5"/>
        <v>15.505015579460993</v>
      </c>
      <c r="R24">
        <f t="shared" si="6"/>
        <v>14.393956804588944</v>
      </c>
      <c r="S24">
        <v>13.603338921673968</v>
      </c>
      <c r="T24">
        <f t="shared" si="7"/>
        <v>14.816752070721062</v>
      </c>
      <c r="U24">
        <f t="shared" si="8"/>
        <v>13.684387643065877</v>
      </c>
      <c r="V24">
        <f t="shared" si="9"/>
        <v>12.823358115869953</v>
      </c>
      <c r="W24">
        <f t="shared" si="0"/>
        <v>0.33848710759834533</v>
      </c>
    </row>
    <row r="25" spans="1:23" x14ac:dyDescent="0.3">
      <c r="A25">
        <v>24</v>
      </c>
      <c r="B25">
        <f t="shared" si="1"/>
        <v>0.78688524590163933</v>
      </c>
      <c r="D25">
        <v>16853471.553771399</v>
      </c>
      <c r="E25">
        <v>6407590.9608328696</v>
      </c>
      <c r="F25">
        <v>1589115.0182296101</v>
      </c>
      <c r="G25">
        <v>5794096.04560507</v>
      </c>
      <c r="H25">
        <v>1880728.5932904701</v>
      </c>
      <c r="I25">
        <v>878540.96787016199</v>
      </c>
      <c r="J25">
        <v>3264050.0204643202</v>
      </c>
      <c r="K25">
        <v>900600.62682555697</v>
      </c>
      <c r="L25">
        <v>417827.34815262101</v>
      </c>
      <c r="N25">
        <f t="shared" si="2"/>
        <v>16.640067220472066</v>
      </c>
      <c r="O25">
        <f t="shared" si="3"/>
        <v>15.672993933113807</v>
      </c>
      <c r="P25">
        <f t="shared" si="4"/>
        <v>14.278687826932993</v>
      </c>
      <c r="Q25">
        <f t="shared" si="5"/>
        <v>15.572350033909467</v>
      </c>
      <c r="R25">
        <f t="shared" si="6"/>
        <v>14.447169809350765</v>
      </c>
      <c r="S25">
        <v>13.686017819409455</v>
      </c>
      <c r="T25">
        <f t="shared" si="7"/>
        <v>14.998479319845867</v>
      </c>
      <c r="U25">
        <f t="shared" si="8"/>
        <v>13.710817182858202</v>
      </c>
      <c r="V25">
        <f t="shared" si="9"/>
        <v>12.942823583484184</v>
      </c>
      <c r="W25">
        <f t="shared" si="0"/>
        <v>0.43562211760927566</v>
      </c>
    </row>
    <row r="26" spans="1:23" x14ac:dyDescent="0.3">
      <c r="A26">
        <v>25</v>
      </c>
      <c r="B26">
        <f t="shared" si="1"/>
        <v>0.81967213114754101</v>
      </c>
      <c r="D26">
        <v>18134948.1941799</v>
      </c>
      <c r="E26">
        <v>6882455.2934112903</v>
      </c>
      <c r="F26">
        <v>1796599.9388585601</v>
      </c>
      <c r="G26">
        <v>5975312.82574037</v>
      </c>
      <c r="H26">
        <v>1993238.44582379</v>
      </c>
      <c r="I26">
        <v>930515.65455904999</v>
      </c>
      <c r="J26">
        <v>3584607.5574465101</v>
      </c>
      <c r="K26">
        <v>1041582.39744398</v>
      </c>
      <c r="L26">
        <v>432373.14778072701</v>
      </c>
      <c r="N26">
        <f t="shared" si="2"/>
        <v>16.713351474019014</v>
      </c>
      <c r="O26">
        <f t="shared" si="3"/>
        <v>15.74448602028747</v>
      </c>
      <c r="P26">
        <f t="shared" si="4"/>
        <v>14.401406513745494</v>
      </c>
      <c r="Q26">
        <f t="shared" si="5"/>
        <v>15.603147010183779</v>
      </c>
      <c r="R26">
        <f t="shared" si="6"/>
        <v>14.505271233696137</v>
      </c>
      <c r="S26">
        <v>13.743494178737055</v>
      </c>
      <c r="T26">
        <f t="shared" si="7"/>
        <v>15.092159558086989</v>
      </c>
      <c r="U26">
        <f t="shared" si="8"/>
        <v>13.856251650758294</v>
      </c>
      <c r="V26">
        <f t="shared" si="9"/>
        <v>12.977044262404279</v>
      </c>
      <c r="W26">
        <f t="shared" si="0"/>
        <v>0.53823372152596427</v>
      </c>
    </row>
    <row r="27" spans="1:23" x14ac:dyDescent="0.3">
      <c r="A27">
        <v>26</v>
      </c>
      <c r="B27">
        <f t="shared" si="1"/>
        <v>0.85245901639344257</v>
      </c>
      <c r="D27">
        <v>18308544.830444299</v>
      </c>
      <c r="E27">
        <v>7038273.06391141</v>
      </c>
      <c r="F27">
        <v>2001321.88181578</v>
      </c>
      <c r="G27">
        <v>7619292.6139398599</v>
      </c>
      <c r="H27">
        <v>2225696.86543176</v>
      </c>
      <c r="I27">
        <v>1037917.3145849101</v>
      </c>
      <c r="J27">
        <v>3702728.6092190002</v>
      </c>
      <c r="K27">
        <v>1096166.0032571701</v>
      </c>
      <c r="L27">
        <v>432762.90786311298</v>
      </c>
      <c r="N27">
        <f t="shared" si="2"/>
        <v>16.722878439458839</v>
      </c>
      <c r="O27">
        <f t="shared" si="3"/>
        <v>15.766873394620745</v>
      </c>
      <c r="P27">
        <f t="shared" si="4"/>
        <v>14.509318461106862</v>
      </c>
      <c r="Q27">
        <f t="shared" si="5"/>
        <v>15.846194090537304</v>
      </c>
      <c r="R27">
        <f t="shared" si="6"/>
        <v>14.615580622493097</v>
      </c>
      <c r="S27">
        <v>13.852726681139032</v>
      </c>
      <c r="T27">
        <f t="shared" si="7"/>
        <v>15.124580567774085</v>
      </c>
      <c r="U27">
        <f t="shared" si="8"/>
        <v>13.907329197846646</v>
      </c>
      <c r="V27">
        <f t="shared" si="9"/>
        <v>12.977945300122482</v>
      </c>
      <c r="W27">
        <f t="shared" si="0"/>
        <v>0.64901204052374939</v>
      </c>
    </row>
    <row r="28" spans="1:23" x14ac:dyDescent="0.3">
      <c r="A28">
        <v>27</v>
      </c>
      <c r="B28">
        <f t="shared" si="1"/>
        <v>0.88524590163934425</v>
      </c>
      <c r="D28">
        <v>19376475.509259801</v>
      </c>
      <c r="E28">
        <v>7270799.6424490297</v>
      </c>
      <c r="F28">
        <v>2109228.38325539</v>
      </c>
      <c r="G28">
        <v>8284740.0812702104</v>
      </c>
      <c r="H28">
        <v>2449427.0858889702</v>
      </c>
      <c r="I28">
        <v>1075175.7383163399</v>
      </c>
      <c r="J28">
        <v>4367444.0980232097</v>
      </c>
      <c r="K28">
        <v>1346205.2308696399</v>
      </c>
      <c r="L28">
        <v>460905.66477935301</v>
      </c>
      <c r="N28">
        <f t="shared" si="2"/>
        <v>16.77957028562065</v>
      </c>
      <c r="O28">
        <f t="shared" si="3"/>
        <v>15.799376835544789</v>
      </c>
      <c r="P28">
        <f t="shared" si="4"/>
        <v>14.56183274342985</v>
      </c>
      <c r="Q28">
        <f t="shared" si="5"/>
        <v>15.92992583614431</v>
      </c>
      <c r="R28">
        <f t="shared" si="6"/>
        <v>14.711364712681192</v>
      </c>
      <c r="S28">
        <v>13.887994683686481</v>
      </c>
      <c r="T28">
        <f t="shared" si="7"/>
        <v>15.289688521371676</v>
      </c>
      <c r="U28">
        <f t="shared" si="8"/>
        <v>14.112800252206853</v>
      </c>
      <c r="V28">
        <f t="shared" si="9"/>
        <v>13.040948669323789</v>
      </c>
      <c r="W28">
        <f t="shared" si="0"/>
        <v>0.77240360155326682</v>
      </c>
    </row>
    <row r="29" spans="1:23" x14ac:dyDescent="0.3">
      <c r="A29">
        <v>28</v>
      </c>
      <c r="B29">
        <f t="shared" si="1"/>
        <v>0.91803278688524592</v>
      </c>
      <c r="D29">
        <v>20436064.614836801</v>
      </c>
      <c r="E29">
        <v>7786923.61807549</v>
      </c>
      <c r="F29">
        <v>3198342.7754003298</v>
      </c>
      <c r="G29">
        <v>10707614.3167428</v>
      </c>
      <c r="H29">
        <v>3490482.3163828398</v>
      </c>
      <c r="I29">
        <v>1083447.19720771</v>
      </c>
      <c r="J29">
        <v>4397940.1525120204</v>
      </c>
      <c r="K29">
        <v>1369357.9989709</v>
      </c>
      <c r="L29">
        <v>490263.22397452599</v>
      </c>
      <c r="N29">
        <f t="shared" si="2"/>
        <v>16.832811771242117</v>
      </c>
      <c r="O29">
        <f t="shared" si="3"/>
        <v>15.867956425608421</v>
      </c>
      <c r="P29">
        <f t="shared" si="4"/>
        <v>14.978143350935001</v>
      </c>
      <c r="Q29">
        <f t="shared" si="5"/>
        <v>16.186465664739004</v>
      </c>
      <c r="R29">
        <f t="shared" si="6"/>
        <v>15.065550484166565</v>
      </c>
      <c r="S29">
        <v>13.895658365229464</v>
      </c>
      <c r="T29">
        <f t="shared" si="7"/>
        <v>15.296646842117038</v>
      </c>
      <c r="U29">
        <f t="shared" si="8"/>
        <v>14.129852574080651</v>
      </c>
      <c r="V29">
        <f t="shared" si="9"/>
        <v>13.102697717635703</v>
      </c>
      <c r="W29">
        <f t="shared" si="0"/>
        <v>0.91686494767638582</v>
      </c>
    </row>
    <row r="30" spans="1:23" x14ac:dyDescent="0.3">
      <c r="A30">
        <v>29</v>
      </c>
      <c r="B30">
        <f t="shared" si="1"/>
        <v>0.95081967213114749</v>
      </c>
      <c r="D30">
        <v>22303486.401126798</v>
      </c>
      <c r="E30">
        <v>7982480.2460055696</v>
      </c>
      <c r="F30">
        <v>3540449.7405322702</v>
      </c>
      <c r="G30">
        <v>10757307.412376801</v>
      </c>
      <c r="H30">
        <v>3809632.9086675602</v>
      </c>
      <c r="I30">
        <v>1559735.1343191799</v>
      </c>
      <c r="J30">
        <v>5642590.0358802304</v>
      </c>
      <c r="K30">
        <v>1406367.21088187</v>
      </c>
      <c r="L30">
        <v>504381.88202611898</v>
      </c>
      <c r="N30">
        <f t="shared" si="2"/>
        <v>16.920253565068094</v>
      </c>
      <c r="O30">
        <f t="shared" si="3"/>
        <v>15.892759728905384</v>
      </c>
      <c r="P30">
        <f t="shared" si="4"/>
        <v>15.079764322388479</v>
      </c>
      <c r="Q30">
        <f t="shared" si="5"/>
        <v>16.191095840897109</v>
      </c>
      <c r="R30">
        <f t="shared" si="6"/>
        <v>15.153043393029893</v>
      </c>
      <c r="S30">
        <v>14.260026579117664</v>
      </c>
      <c r="T30">
        <f t="shared" si="7"/>
        <v>15.54585374428205</v>
      </c>
      <c r="U30">
        <f t="shared" si="8"/>
        <v>14.156520491421894</v>
      </c>
      <c r="V30">
        <f t="shared" si="9"/>
        <v>13.131088962574713</v>
      </c>
      <c r="W30">
        <f t="shared" si="0"/>
        <v>1.1026911506241235</v>
      </c>
    </row>
    <row r="31" spans="1:23" x14ac:dyDescent="0.3">
      <c r="A31">
        <v>30</v>
      </c>
      <c r="B31">
        <f t="shared" si="1"/>
        <v>0.98360655737704916</v>
      </c>
      <c r="D31">
        <v>26789060.1972824</v>
      </c>
      <c r="E31">
        <v>10321152.758929599</v>
      </c>
      <c r="F31">
        <v>3831631.7750969301</v>
      </c>
      <c r="G31">
        <v>11862529.298060499</v>
      </c>
      <c r="H31">
        <v>4032540.3949331199</v>
      </c>
      <c r="I31">
        <v>2636299.1411477602</v>
      </c>
      <c r="J31">
        <v>5909748.9849620201</v>
      </c>
      <c r="K31">
        <v>1662853.54782316</v>
      </c>
      <c r="L31">
        <v>573394.79939121497</v>
      </c>
      <c r="N31">
        <f t="shared" si="2"/>
        <v>17.103504160550195</v>
      </c>
      <c r="O31">
        <f t="shared" si="3"/>
        <v>16.149706013226215</v>
      </c>
      <c r="P31">
        <f t="shared" si="4"/>
        <v>15.158801321362045</v>
      </c>
      <c r="Q31">
        <f t="shared" si="5"/>
        <v>16.28889519170216</v>
      </c>
      <c r="R31">
        <f t="shared" si="6"/>
        <v>15.2099071062737</v>
      </c>
      <c r="S31">
        <v>14.784886651150563</v>
      </c>
      <c r="T31">
        <f t="shared" si="7"/>
        <v>15.592113915546612</v>
      </c>
      <c r="U31">
        <f t="shared" si="8"/>
        <v>14.324045689247898</v>
      </c>
      <c r="V31">
        <f t="shared" si="9"/>
        <v>13.259329762615625</v>
      </c>
      <c r="W31">
        <f t="shared" si="0"/>
        <v>1.4136356249281929</v>
      </c>
    </row>
    <row r="35" spans="2:13" x14ac:dyDescent="0.3">
      <c r="I35" t="s">
        <v>52</v>
      </c>
      <c r="J35" t="s">
        <v>53</v>
      </c>
      <c r="K35" t="s">
        <v>54</v>
      </c>
    </row>
    <row r="36" spans="2:13" x14ac:dyDescent="0.3">
      <c r="C36" s="3" t="s">
        <v>27</v>
      </c>
      <c r="D36" s="3" t="s">
        <v>29</v>
      </c>
      <c r="E36" s="4" t="s">
        <v>32</v>
      </c>
      <c r="F36" s="4" t="s">
        <v>31</v>
      </c>
      <c r="G36" s="5" t="s">
        <v>33</v>
      </c>
      <c r="H36" s="5" t="s">
        <v>34</v>
      </c>
      <c r="I36" s="5" t="s">
        <v>35</v>
      </c>
      <c r="J36" s="5" t="s">
        <v>51</v>
      </c>
      <c r="K36" s="5" t="s">
        <v>36</v>
      </c>
      <c r="M36" s="5" t="s">
        <v>47</v>
      </c>
    </row>
    <row r="37" spans="2:13" x14ac:dyDescent="0.3">
      <c r="B37" s="1" t="s">
        <v>0</v>
      </c>
      <c r="C37">
        <f>F37/E37</f>
        <v>16.166297331149437</v>
      </c>
      <c r="D37">
        <f t="shared" ref="D37:D43" si="10">EXP(C37)</f>
        <v>10493822.736016408</v>
      </c>
      <c r="E37">
        <v>1.0379</v>
      </c>
      <c r="F37">
        <v>16.779</v>
      </c>
      <c r="G37">
        <f>EXP(F37/E37)</f>
        <v>10493822.736016408</v>
      </c>
      <c r="H37">
        <f>(1+(1/E37))</f>
        <v>1.9634839579920995</v>
      </c>
      <c r="I37">
        <v>0.98362700000000003</v>
      </c>
      <c r="J37">
        <f>_xlfn.GAMMA(H37)</f>
        <v>0.98510690611387464</v>
      </c>
      <c r="K37">
        <f>G37*J37</f>
        <v>10337537.248784559</v>
      </c>
      <c r="M37">
        <v>10337537.248784559</v>
      </c>
    </row>
    <row r="38" spans="2:13" x14ac:dyDescent="0.3">
      <c r="B38" s="1" t="s">
        <v>1</v>
      </c>
      <c r="C38">
        <f t="shared" ref="C38:C45" si="11">F38/E38</f>
        <v>15.275067469379282</v>
      </c>
      <c r="D38">
        <f t="shared" si="10"/>
        <v>4304052.0294574583</v>
      </c>
      <c r="E38">
        <v>1.4451000000000001</v>
      </c>
      <c r="F38">
        <v>22.074000000000002</v>
      </c>
      <c r="G38">
        <f t="shared" ref="G38:G45" si="12">EXP(F38/E38)</f>
        <v>4304052.0294574583</v>
      </c>
      <c r="H38">
        <f t="shared" ref="H38:H45" si="13">(1+(1/E38))</f>
        <v>1.6919936336585704</v>
      </c>
      <c r="I38">
        <v>0.90654199999999996</v>
      </c>
      <c r="J38">
        <f t="shared" ref="J38:J45" si="14">_xlfn.GAMMA(H38)</f>
        <v>0.90714594483486821</v>
      </c>
      <c r="K38">
        <f t="shared" ref="K38:K45" si="15">G38*J38</f>
        <v>3904403.3448806182</v>
      </c>
      <c r="M38">
        <v>3904403.3448806182</v>
      </c>
    </row>
    <row r="39" spans="2:13" x14ac:dyDescent="0.3">
      <c r="B39" s="1" t="s">
        <v>2</v>
      </c>
      <c r="C39">
        <f t="shared" si="11"/>
        <v>14.023690961219256</v>
      </c>
      <c r="D39">
        <f t="shared" si="10"/>
        <v>1231435.3044485573</v>
      </c>
      <c r="E39">
        <v>1.3253999999999999</v>
      </c>
      <c r="F39">
        <v>18.587</v>
      </c>
      <c r="G39">
        <f t="shared" si="12"/>
        <v>1231435.3044485573</v>
      </c>
      <c r="H39">
        <f t="shared" si="13"/>
        <v>1.7544892108042855</v>
      </c>
      <c r="I39">
        <v>0.91877600000000004</v>
      </c>
      <c r="J39">
        <f t="shared" si="14"/>
        <v>0.92009120867445593</v>
      </c>
      <c r="K39">
        <f t="shared" si="15"/>
        <v>1133032.7976744696</v>
      </c>
      <c r="M39">
        <v>1133032.7976744696</v>
      </c>
    </row>
    <row r="40" spans="2:13" x14ac:dyDescent="0.3">
      <c r="B40" s="1" t="s">
        <v>3</v>
      </c>
      <c r="C40">
        <f t="shared" si="11"/>
        <v>15.266918873476252</v>
      </c>
      <c r="D40">
        <f t="shared" si="10"/>
        <v>4269122.5550847668</v>
      </c>
      <c r="E40">
        <v>1.4274</v>
      </c>
      <c r="F40">
        <v>21.792000000000002</v>
      </c>
      <c r="G40">
        <f t="shared" si="12"/>
        <v>4269122.5550847668</v>
      </c>
      <c r="H40">
        <f t="shared" si="13"/>
        <v>1.7005744710662745</v>
      </c>
      <c r="I40">
        <v>0.90830100000000003</v>
      </c>
      <c r="J40">
        <f t="shared" si="14"/>
        <v>0.90874771751227423</v>
      </c>
      <c r="K40">
        <f t="shared" si="15"/>
        <v>3879555.3777134502</v>
      </c>
      <c r="M40">
        <v>3879555.3777134502</v>
      </c>
    </row>
    <row r="41" spans="2:13" x14ac:dyDescent="0.3">
      <c r="B41" s="1" t="s">
        <v>4</v>
      </c>
      <c r="C41">
        <f t="shared" si="11"/>
        <v>14.224862761448128</v>
      </c>
      <c r="D41">
        <f t="shared" si="10"/>
        <v>1505841.9898936851</v>
      </c>
      <c r="E41">
        <v>1.4391</v>
      </c>
      <c r="F41">
        <v>20.471</v>
      </c>
      <c r="G41">
        <f t="shared" si="12"/>
        <v>1505841.9898936851</v>
      </c>
      <c r="H41">
        <f t="shared" si="13"/>
        <v>1.6948787436592314</v>
      </c>
      <c r="I41">
        <v>0.90654199999999996</v>
      </c>
      <c r="J41">
        <f t="shared" si="14"/>
        <v>0.90767825415492742</v>
      </c>
      <c r="K41">
        <f t="shared" si="15"/>
        <v>1366820.0284198821</v>
      </c>
      <c r="M41">
        <v>1366820.0284198821</v>
      </c>
    </row>
    <row r="42" spans="2:13" x14ac:dyDescent="0.3">
      <c r="B42" s="1" t="s">
        <v>5</v>
      </c>
      <c r="C42">
        <f t="shared" si="11"/>
        <v>13.505504396593507</v>
      </c>
      <c r="D42">
        <f t="shared" si="10"/>
        <v>733442.43719957536</v>
      </c>
      <c r="E42">
        <v>1.4442999999999999</v>
      </c>
      <c r="F42">
        <v>19.506</v>
      </c>
      <c r="G42">
        <f t="shared" si="12"/>
        <v>733442.43719957536</v>
      </c>
      <c r="H42">
        <f t="shared" si="13"/>
        <v>1.6923769300006923</v>
      </c>
      <c r="I42">
        <v>0.90654199999999996</v>
      </c>
      <c r="J42">
        <f t="shared" si="14"/>
        <v>0.90721629902280221</v>
      </c>
      <c r="K42">
        <f t="shared" si="15"/>
        <v>665390.93342246278</v>
      </c>
      <c r="M42">
        <v>665390.93342246278</v>
      </c>
    </row>
    <row r="43" spans="2:13" x14ac:dyDescent="0.3">
      <c r="B43" s="1" t="s">
        <v>6</v>
      </c>
      <c r="C43">
        <f t="shared" si="11"/>
        <v>14.683933534385902</v>
      </c>
      <c r="D43">
        <f t="shared" si="10"/>
        <v>2383149.6053968077</v>
      </c>
      <c r="E43">
        <v>1.6911</v>
      </c>
      <c r="F43">
        <v>24.832000000000001</v>
      </c>
      <c r="G43">
        <f t="shared" si="12"/>
        <v>2383149.6053968077</v>
      </c>
      <c r="H43">
        <f t="shared" si="13"/>
        <v>1.5913310862752055</v>
      </c>
      <c r="I43">
        <v>0.89190999999999998</v>
      </c>
      <c r="J43">
        <f t="shared" si="14"/>
        <v>0.89256840150023442</v>
      </c>
      <c r="K43">
        <f t="shared" si="15"/>
        <v>2127124.033824943</v>
      </c>
      <c r="M43">
        <v>2127124.033824943</v>
      </c>
    </row>
    <row r="44" spans="2:13" x14ac:dyDescent="0.3">
      <c r="B44" s="1" t="s">
        <v>7</v>
      </c>
      <c r="C44">
        <f t="shared" si="11"/>
        <v>13.555141926477431</v>
      </c>
      <c r="D44">
        <f>EXP(C44)</f>
        <v>770767.40429340291</v>
      </c>
      <c r="E44">
        <v>1.9340999999999999</v>
      </c>
      <c r="F44">
        <v>26.216999999999999</v>
      </c>
      <c r="G44">
        <f t="shared" si="12"/>
        <v>770767.40429340291</v>
      </c>
      <c r="H44">
        <f t="shared" si="13"/>
        <v>1.5170363476552402</v>
      </c>
      <c r="I44" s="6">
        <v>0.88633700000000004</v>
      </c>
      <c r="J44">
        <f t="shared" si="14"/>
        <v>0.88689772945224232</v>
      </c>
      <c r="K44">
        <f t="shared" si="15"/>
        <v>683591.86080361751</v>
      </c>
      <c r="M44">
        <v>683591.86080361751</v>
      </c>
    </row>
    <row r="45" spans="2:13" x14ac:dyDescent="0.3">
      <c r="B45" s="1" t="s">
        <v>8</v>
      </c>
      <c r="C45">
        <f t="shared" si="11"/>
        <v>12.634245745442529</v>
      </c>
      <c r="D45">
        <f>EXP(C45)</f>
        <v>306890.3342859823</v>
      </c>
      <c r="E45">
        <v>1.8157000000000001</v>
      </c>
      <c r="F45">
        <v>22.94</v>
      </c>
      <c r="G45">
        <f t="shared" si="12"/>
        <v>306890.3342859823</v>
      </c>
      <c r="H45">
        <f t="shared" si="13"/>
        <v>1.550751776174478</v>
      </c>
      <c r="I45" s="6">
        <v>0.88825399999999999</v>
      </c>
      <c r="J45">
        <f t="shared" si="14"/>
        <v>0.88892351787710144</v>
      </c>
      <c r="K45">
        <f t="shared" si="15"/>
        <v>272802.03555597505</v>
      </c>
      <c r="M45">
        <v>272802.03555597505</v>
      </c>
    </row>
    <row r="47" spans="2:13" x14ac:dyDescent="0.3">
      <c r="B47" s="1" t="s">
        <v>40</v>
      </c>
      <c r="C47" s="9" t="s">
        <v>43</v>
      </c>
      <c r="D47" s="9" t="s">
        <v>44</v>
      </c>
    </row>
    <row r="48" spans="2:13" x14ac:dyDescent="0.3">
      <c r="B48" s="11">
        <f>0.00008617</f>
        <v>8.6169999999999997E-5</v>
      </c>
      <c r="C48" s="3">
        <v>0.52539999999999998</v>
      </c>
      <c r="D48" s="3">
        <v>5.0231000000000003</v>
      </c>
    </row>
    <row r="51" spans="2:11" x14ac:dyDescent="0.3">
      <c r="C51" s="1" t="s">
        <v>0</v>
      </c>
      <c r="D51" s="1" t="s">
        <v>1</v>
      </c>
      <c r="E51" s="1" t="s">
        <v>2</v>
      </c>
      <c r="F51" s="1" t="s">
        <v>3</v>
      </c>
      <c r="G51" s="1" t="s">
        <v>4</v>
      </c>
      <c r="H51" s="1" t="s">
        <v>5</v>
      </c>
      <c r="I51" s="1" t="s">
        <v>6</v>
      </c>
      <c r="J51" s="1" t="s">
        <v>7</v>
      </c>
      <c r="K51" s="1" t="s">
        <v>8</v>
      </c>
    </row>
    <row r="52" spans="2:11" x14ac:dyDescent="0.3">
      <c r="B52" t="s">
        <v>42</v>
      </c>
      <c r="C52" s="8">
        <v>1</v>
      </c>
      <c r="D52" s="8">
        <v>1.2</v>
      </c>
      <c r="E52" s="8">
        <v>1.4</v>
      </c>
      <c r="F52" s="8">
        <v>1</v>
      </c>
      <c r="G52" s="8">
        <v>1.2</v>
      </c>
      <c r="H52" s="8">
        <v>1.4</v>
      </c>
      <c r="I52" s="8">
        <v>1</v>
      </c>
      <c r="J52" s="8">
        <v>1.2</v>
      </c>
      <c r="K52" s="8">
        <v>1.4</v>
      </c>
    </row>
    <row r="53" spans="2:11" x14ac:dyDescent="0.3">
      <c r="B53" t="s">
        <v>41</v>
      </c>
      <c r="C53" s="8">
        <v>373</v>
      </c>
      <c r="D53" s="8">
        <v>373</v>
      </c>
      <c r="E53" s="8">
        <v>373</v>
      </c>
      <c r="F53" s="8">
        <v>393</v>
      </c>
      <c r="G53" s="8">
        <v>393</v>
      </c>
      <c r="H53" s="8">
        <v>393</v>
      </c>
      <c r="I53" s="8">
        <v>413</v>
      </c>
      <c r="J53" s="8">
        <v>413</v>
      </c>
      <c r="K53" s="8">
        <v>413</v>
      </c>
    </row>
    <row r="54" spans="2:11" x14ac:dyDescent="0.3">
      <c r="B54" t="s">
        <v>28</v>
      </c>
      <c r="C54">
        <v>10337537.248784559</v>
      </c>
      <c r="D54">
        <v>3904403.3448806182</v>
      </c>
      <c r="E54">
        <v>1133032.7976744696</v>
      </c>
      <c r="F54">
        <v>3879555.3777134502</v>
      </c>
      <c r="G54">
        <v>1366820.0284198821</v>
      </c>
      <c r="H54">
        <v>665390.93342246278</v>
      </c>
      <c r="I54">
        <v>2127124.033824943</v>
      </c>
      <c r="J54">
        <v>683591.86080361751</v>
      </c>
      <c r="K54">
        <v>272802.03555597505</v>
      </c>
    </row>
    <row r="55" spans="2:11" x14ac:dyDescent="0.3">
      <c r="B55" t="s">
        <v>38</v>
      </c>
      <c r="C55" s="15">
        <f>1/($B$48*C53)</f>
        <v>31.112511865534216</v>
      </c>
      <c r="D55" s="15">
        <f>1/($B$48*D53)</f>
        <v>31.112511865534216</v>
      </c>
      <c r="E55" s="15">
        <f t="shared" ref="E55:K55" si="16">1/($B$48*E53)</f>
        <v>31.112511865534216</v>
      </c>
      <c r="F55" s="15">
        <f t="shared" si="16"/>
        <v>29.529177928356905</v>
      </c>
      <c r="G55" s="15">
        <f t="shared" si="16"/>
        <v>29.529177928356905</v>
      </c>
      <c r="H55" s="15">
        <f t="shared" si="16"/>
        <v>29.529177928356905</v>
      </c>
      <c r="I55" s="15">
        <f t="shared" si="16"/>
        <v>28.09919352504664</v>
      </c>
      <c r="J55" s="15">
        <f t="shared" si="16"/>
        <v>28.09919352504664</v>
      </c>
      <c r="K55" s="15">
        <f t="shared" si="16"/>
        <v>28.09919352504664</v>
      </c>
    </row>
    <row r="56" spans="2:11" x14ac:dyDescent="0.3">
      <c r="B56" t="s">
        <v>39</v>
      </c>
      <c r="C56">
        <f>LN(C54)</f>
        <v>16.151292221575748</v>
      </c>
      <c r="D56">
        <f t="shared" ref="D56:K56" si="17">LN(D54)</f>
        <v>15.177615536977749</v>
      </c>
      <c r="E56">
        <f t="shared" si="17"/>
        <v>13.940408487229712</v>
      </c>
      <c r="F56">
        <f t="shared" si="17"/>
        <v>15.171231111660312</v>
      </c>
      <c r="G56">
        <f t="shared" si="17"/>
        <v>14.127997452627678</v>
      </c>
      <c r="H56">
        <f t="shared" si="17"/>
        <v>13.408130016718442</v>
      </c>
      <c r="I56">
        <f t="shared" si="17"/>
        <v>14.570281406457235</v>
      </c>
      <c r="J56">
        <f t="shared" si="17"/>
        <v>13.435116323779985</v>
      </c>
      <c r="K56">
        <f t="shared" si="17"/>
        <v>12.516501666639057</v>
      </c>
    </row>
    <row r="58" spans="2:11" x14ac:dyDescent="0.3">
      <c r="B58" t="s">
        <v>63</v>
      </c>
      <c r="C58">
        <f>EXP($C$48*C55)</f>
        <v>12566105.833894422</v>
      </c>
      <c r="D58">
        <f t="shared" ref="D58:K58" si="18">EXP($C$48*D55)</f>
        <v>12566105.833894422</v>
      </c>
      <c r="E58">
        <f t="shared" si="18"/>
        <v>12566105.833894422</v>
      </c>
      <c r="F58">
        <f t="shared" si="18"/>
        <v>5469129.8423271216</v>
      </c>
      <c r="G58">
        <f t="shared" si="18"/>
        <v>5469129.8423271216</v>
      </c>
      <c r="H58">
        <f t="shared" si="18"/>
        <v>5469129.8423271216</v>
      </c>
      <c r="I58">
        <f t="shared" si="18"/>
        <v>2580042.1089408281</v>
      </c>
      <c r="J58">
        <f t="shared" si="18"/>
        <v>2580042.1089408281</v>
      </c>
      <c r="K58">
        <f t="shared" si="18"/>
        <v>2580042.1089408281</v>
      </c>
    </row>
    <row r="59" spans="2:11" x14ac:dyDescent="0.3">
      <c r="B59" t="s">
        <v>64</v>
      </c>
      <c r="C59">
        <f>EXP(-C52*$D$48)</f>
        <v>6.5840843784995906E-3</v>
      </c>
      <c r="D59">
        <f t="shared" ref="D59:K59" si="19">EXP(-D52*$D$48)</f>
        <v>2.4109847620052143E-3</v>
      </c>
      <c r="E59">
        <f t="shared" si="19"/>
        <v>8.8286346110679728E-4</v>
      </c>
      <c r="F59">
        <f t="shared" si="19"/>
        <v>6.5840843784995906E-3</v>
      </c>
      <c r="G59">
        <f t="shared" si="19"/>
        <v>2.4109847620052143E-3</v>
      </c>
      <c r="H59">
        <f t="shared" si="19"/>
        <v>8.8286346110679728E-4</v>
      </c>
      <c r="I59">
        <f t="shared" si="19"/>
        <v>6.5840843784995906E-3</v>
      </c>
      <c r="J59">
        <f t="shared" si="19"/>
        <v>2.4109847620052143E-3</v>
      </c>
      <c r="K59">
        <f t="shared" si="19"/>
        <v>8.8286346110679728E-4</v>
      </c>
    </row>
    <row r="60" spans="2:11" x14ac:dyDescent="0.3">
      <c r="B60" t="s">
        <v>45</v>
      </c>
      <c r="C60">
        <f>LN(C54/C59)</f>
        <v>21.174392221575747</v>
      </c>
      <c r="D60">
        <f t="shared" ref="D60:K60" si="20">LN(D54/D59)</f>
        <v>21.205335536977749</v>
      </c>
      <c r="E60">
        <f t="shared" si="20"/>
        <v>20.972748487229712</v>
      </c>
      <c r="F60">
        <f t="shared" si="20"/>
        <v>20.194331111660311</v>
      </c>
      <c r="G60">
        <f t="shared" si="20"/>
        <v>20.15571745262768</v>
      </c>
      <c r="H60">
        <f t="shared" si="20"/>
        <v>20.440470016718439</v>
      </c>
      <c r="I60">
        <f t="shared" si="20"/>
        <v>19.593381406457237</v>
      </c>
      <c r="J60">
        <f t="shared" si="20"/>
        <v>19.462836323779985</v>
      </c>
      <c r="K60">
        <f t="shared" si="20"/>
        <v>19.548841666639056</v>
      </c>
    </row>
    <row r="61" spans="2:11" x14ac:dyDescent="0.3">
      <c r="B61" t="s">
        <v>46</v>
      </c>
      <c r="C61">
        <f>LN(C54/C58)</f>
        <v>-0.19522151257593018</v>
      </c>
      <c r="D61">
        <f t="shared" ref="D61:K61" si="21">LN(D54/D58)</f>
        <v>-1.1688981971739287</v>
      </c>
      <c r="E61">
        <f t="shared" si="21"/>
        <v>-2.4061052469219661</v>
      </c>
      <c r="F61">
        <f t="shared" si="21"/>
        <v>-0.34339897189840579</v>
      </c>
      <c r="G61">
        <f t="shared" si="21"/>
        <v>-1.3866326309310393</v>
      </c>
      <c r="H61">
        <f t="shared" si="21"/>
        <v>-2.1065000668402765</v>
      </c>
      <c r="I61">
        <f t="shared" si="21"/>
        <v>-0.19303487160226793</v>
      </c>
      <c r="J61">
        <f t="shared" si="21"/>
        <v>-1.3281999542795193</v>
      </c>
      <c r="K61">
        <f t="shared" si="21"/>
        <v>-2.2468146114204472</v>
      </c>
    </row>
    <row r="63" spans="2:11" x14ac:dyDescent="0.3">
      <c r="B63" t="s">
        <v>65</v>
      </c>
      <c r="C63">
        <f>C54/(C58*C59)</f>
        <v>124.94560560365704</v>
      </c>
      <c r="D63">
        <f t="shared" ref="D63:K63" si="22">D54/(D58*D59)</f>
        <v>128.8722756743087</v>
      </c>
      <c r="E63">
        <f t="shared" si="22"/>
        <v>102.12879911023245</v>
      </c>
      <c r="F63">
        <f t="shared" si="22"/>
        <v>107.73785716420321</v>
      </c>
      <c r="G63">
        <f t="shared" si="22"/>
        <v>103.65699974024464</v>
      </c>
      <c r="H63">
        <f t="shared" si="22"/>
        <v>137.80504006931534</v>
      </c>
      <c r="I63">
        <f t="shared" si="22"/>
        <v>125.21911570957113</v>
      </c>
      <c r="J63">
        <f t="shared" si="22"/>
        <v>109.89441549765985</v>
      </c>
      <c r="K63">
        <f t="shared" si="22"/>
        <v>119.76426933664636</v>
      </c>
    </row>
    <row r="65" spans="2:3" x14ac:dyDescent="0.3">
      <c r="B65" s="3" t="s">
        <v>66</v>
      </c>
      <c r="C65" s="3">
        <f>AVERAGE(C63:K63)</f>
        <v>117.78048643398208</v>
      </c>
    </row>
    <row r="85" spans="2:12" x14ac:dyDescent="0.3">
      <c r="B85" t="s">
        <v>94</v>
      </c>
      <c r="D85" s="3" t="s">
        <v>66</v>
      </c>
      <c r="E85" s="3">
        <v>122.32542132129223</v>
      </c>
    </row>
    <row r="87" spans="2:12" x14ac:dyDescent="0.3">
      <c r="C87" s="14" t="s">
        <v>68</v>
      </c>
      <c r="D87" s="14" t="s">
        <v>42</v>
      </c>
      <c r="E87" s="14" t="s">
        <v>41</v>
      </c>
      <c r="F87" s="14" t="s">
        <v>38</v>
      </c>
      <c r="G87" s="16" t="s">
        <v>65</v>
      </c>
      <c r="H87" s="14" t="s">
        <v>71</v>
      </c>
      <c r="I87" s="14" t="s">
        <v>70</v>
      </c>
      <c r="K87" s="14" t="s">
        <v>72</v>
      </c>
      <c r="L87" s="14" t="s">
        <v>69</v>
      </c>
    </row>
    <row r="88" spans="2:12" x14ac:dyDescent="0.3">
      <c r="B88" s="9" t="s">
        <v>0</v>
      </c>
      <c r="C88">
        <v>10337537.248784559</v>
      </c>
      <c r="D88">
        <v>1</v>
      </c>
      <c r="E88">
        <v>373</v>
      </c>
      <c r="F88">
        <v>31.112511865534199</v>
      </c>
      <c r="G88">
        <v>124.94560560365704</v>
      </c>
      <c r="H88">
        <f>G88*EXP(0.5254*F88)*EXP(-5.0231*D88)</f>
        <v>10337537.248784449</v>
      </c>
      <c r="I88">
        <f>POWER((C88-H88),2)</f>
        <v>1.2077144839750531E-14</v>
      </c>
      <c r="K88">
        <f t="shared" ref="K88:K96" si="23">$E$85*EXP(0.5254*F88)*EXP(-5.0231*D88)</f>
        <v>10120752.893010091</v>
      </c>
      <c r="L88">
        <f t="shared" ref="L88:L96" si="24">POWER((C88-K88),2)</f>
        <v>46995456908.551033</v>
      </c>
    </row>
    <row r="89" spans="2:12" x14ac:dyDescent="0.3">
      <c r="B89" s="9" t="s">
        <v>1</v>
      </c>
      <c r="C89">
        <v>3904403.3448806182</v>
      </c>
      <c r="D89">
        <v>1.2</v>
      </c>
      <c r="E89">
        <v>373</v>
      </c>
      <c r="F89">
        <v>31.112511865534216</v>
      </c>
      <c r="G89">
        <v>128.8722756743087</v>
      </c>
      <c r="H89">
        <f t="shared" ref="H89:H96" si="25">G89*EXP(0.5254*F89)*EXP(-5.0231*D89)</f>
        <v>3904403.3448806182</v>
      </c>
      <c r="I89">
        <f t="shared" ref="I89:I96" si="26">POWER((C89-H89),2)</f>
        <v>0</v>
      </c>
      <c r="K89">
        <f t="shared" si="23"/>
        <v>3706055.3301457502</v>
      </c>
      <c r="L89">
        <f t="shared" si="24"/>
        <v>39341934949.263397</v>
      </c>
    </row>
    <row r="90" spans="2:12" x14ac:dyDescent="0.3">
      <c r="B90" s="9" t="s">
        <v>2</v>
      </c>
      <c r="C90">
        <v>1133032.7976744696</v>
      </c>
      <c r="D90">
        <v>1.4</v>
      </c>
      <c r="E90">
        <v>373</v>
      </c>
      <c r="F90">
        <v>31.112511865534216</v>
      </c>
      <c r="G90">
        <v>102.12879911023245</v>
      </c>
      <c r="H90">
        <f t="shared" si="25"/>
        <v>1133032.7976744696</v>
      </c>
      <c r="I90">
        <f t="shared" si="26"/>
        <v>0</v>
      </c>
      <c r="K90">
        <f t="shared" si="23"/>
        <v>1357097.2688788378</v>
      </c>
      <c r="L90">
        <f t="shared" si="24"/>
        <v>50204887256.093132</v>
      </c>
    </row>
    <row r="91" spans="2:12" x14ac:dyDescent="0.3">
      <c r="B91" s="9" t="s">
        <v>3</v>
      </c>
      <c r="C91">
        <v>3879555.3777134502</v>
      </c>
      <c r="D91">
        <v>1</v>
      </c>
      <c r="E91">
        <v>393</v>
      </c>
      <c r="F91">
        <v>29.529177928356905</v>
      </c>
      <c r="G91">
        <v>107.73785716420321</v>
      </c>
      <c r="H91">
        <f t="shared" si="25"/>
        <v>3879555.3777134502</v>
      </c>
      <c r="I91">
        <f t="shared" si="26"/>
        <v>0</v>
      </c>
      <c r="K91">
        <f t="shared" si="23"/>
        <v>4404842.073244445</v>
      </c>
      <c r="L91">
        <f t="shared" si="24"/>
        <v>275926112501.87201</v>
      </c>
    </row>
    <row r="92" spans="2:12" x14ac:dyDescent="0.3">
      <c r="B92" s="9" t="s">
        <v>4</v>
      </c>
      <c r="C92">
        <v>1366820.0284198821</v>
      </c>
      <c r="D92">
        <v>1.2</v>
      </c>
      <c r="E92">
        <v>393</v>
      </c>
      <c r="F92">
        <v>29.529177928356905</v>
      </c>
      <c r="G92">
        <v>103.65699974024464</v>
      </c>
      <c r="H92">
        <f t="shared" si="25"/>
        <v>1366820.0284198821</v>
      </c>
      <c r="I92">
        <f t="shared" si="26"/>
        <v>0</v>
      </c>
      <c r="K92">
        <f t="shared" si="23"/>
        <v>1612981.6246449663</v>
      </c>
      <c r="L92">
        <f t="shared" si="24"/>
        <v>60595531456.081421</v>
      </c>
    </row>
    <row r="93" spans="2:12" x14ac:dyDescent="0.3">
      <c r="B93" s="9" t="s">
        <v>5</v>
      </c>
      <c r="C93">
        <v>665390.93342246278</v>
      </c>
      <c r="D93">
        <v>1.4</v>
      </c>
      <c r="E93">
        <v>393</v>
      </c>
      <c r="F93">
        <v>29.529177928356905</v>
      </c>
      <c r="G93">
        <v>137.80504006931534</v>
      </c>
      <c r="H93">
        <f t="shared" si="25"/>
        <v>665390.93342246267</v>
      </c>
      <c r="I93">
        <f t="shared" si="26"/>
        <v>1.3552527156068805E-20</v>
      </c>
      <c r="K93">
        <f t="shared" si="23"/>
        <v>590647.67321521556</v>
      </c>
      <c r="L93">
        <f t="shared" si="24"/>
        <v>5586554946.4082661</v>
      </c>
    </row>
    <row r="94" spans="2:12" x14ac:dyDescent="0.3">
      <c r="B94" s="9" t="s">
        <v>6</v>
      </c>
      <c r="C94">
        <v>2127124.033824943</v>
      </c>
      <c r="D94">
        <v>1</v>
      </c>
      <c r="E94">
        <v>413</v>
      </c>
      <c r="F94">
        <v>28.09919352504664</v>
      </c>
      <c r="G94">
        <v>125.21911570957113</v>
      </c>
      <c r="H94">
        <f t="shared" si="25"/>
        <v>2127124.033824943</v>
      </c>
      <c r="I94">
        <f t="shared" si="26"/>
        <v>0</v>
      </c>
      <c r="K94">
        <f t="shared" si="23"/>
        <v>2077968.2252651008</v>
      </c>
      <c r="L94">
        <f t="shared" si="24"/>
        <v>2416293515.1718531</v>
      </c>
    </row>
    <row r="95" spans="2:12" x14ac:dyDescent="0.3">
      <c r="B95" s="9" t="s">
        <v>7</v>
      </c>
      <c r="C95">
        <v>683591.86080361751</v>
      </c>
      <c r="D95">
        <v>1.2</v>
      </c>
      <c r="E95">
        <v>413</v>
      </c>
      <c r="F95">
        <v>28.09919352504664</v>
      </c>
      <c r="G95">
        <v>109.89441549765985</v>
      </c>
      <c r="H95">
        <f t="shared" si="25"/>
        <v>683591.8608036174</v>
      </c>
      <c r="I95">
        <f t="shared" si="26"/>
        <v>1.3552527156068805E-20</v>
      </c>
      <c r="K95">
        <f t="shared" si="23"/>
        <v>760918.21414154861</v>
      </c>
      <c r="L95">
        <f t="shared" si="24"/>
        <v>5979364920.5425682</v>
      </c>
    </row>
    <row r="96" spans="2:12" x14ac:dyDescent="0.3">
      <c r="B96" s="9" t="s">
        <v>8</v>
      </c>
      <c r="C96">
        <v>272802.03555597505</v>
      </c>
      <c r="D96">
        <v>1.4</v>
      </c>
      <c r="E96">
        <v>413</v>
      </c>
      <c r="F96">
        <v>28.09919352504664</v>
      </c>
      <c r="G96">
        <v>119.76426933664636</v>
      </c>
      <c r="H96">
        <f t="shared" si="25"/>
        <v>272802.03555597505</v>
      </c>
      <c r="I96">
        <f t="shared" si="26"/>
        <v>0</v>
      </c>
      <c r="K96">
        <f t="shared" si="23"/>
        <v>278635.89133491082</v>
      </c>
      <c r="L96">
        <f t="shared" si="24"/>
        <v>34033873.249422312</v>
      </c>
    </row>
    <row r="97" spans="2:12" x14ac:dyDescent="0.3">
      <c r="H97" t="s">
        <v>73</v>
      </c>
      <c r="I97">
        <f>SUM(I88:I96)</f>
        <v>1.2077171944804843E-14</v>
      </c>
      <c r="K97" t="s">
        <v>73</v>
      </c>
      <c r="L97">
        <f>SUM(L88:L96)</f>
        <v>487080170327.23309</v>
      </c>
    </row>
    <row r="101" spans="2:12" x14ac:dyDescent="0.3">
      <c r="C101" s="14" t="s">
        <v>68</v>
      </c>
      <c r="D101" s="14" t="s">
        <v>42</v>
      </c>
      <c r="E101" s="14" t="s">
        <v>41</v>
      </c>
      <c r="F101" s="14" t="s">
        <v>38</v>
      </c>
      <c r="G101" s="16" t="s">
        <v>65</v>
      </c>
      <c r="H101" s="14" t="s">
        <v>128</v>
      </c>
      <c r="I101" s="14" t="s">
        <v>70</v>
      </c>
      <c r="K101" s="14" t="s">
        <v>72</v>
      </c>
      <c r="L101" s="14" t="s">
        <v>69</v>
      </c>
    </row>
    <row r="102" spans="2:12" x14ac:dyDescent="0.3">
      <c r="B102" s="9" t="s">
        <v>0</v>
      </c>
      <c r="C102">
        <v>10337537.248784559</v>
      </c>
      <c r="D102">
        <v>1</v>
      </c>
      <c r="E102">
        <v>373</v>
      </c>
      <c r="F102">
        <v>31.112511865534199</v>
      </c>
      <c r="G102">
        <v>124.94560560365704</v>
      </c>
      <c r="H102">
        <f>$E$114*EXP(0.5254*F102)*EXP(-5.0231*D102)</f>
        <v>10120752.893010091</v>
      </c>
      <c r="I102">
        <f>POWER((C102-H102),2)</f>
        <v>46995456908.551033</v>
      </c>
      <c r="K102">
        <f t="shared" ref="K102:K110" si="27">$E$85*EXP(0.5254*F102)*EXP(-5.0231*D102)</f>
        <v>10120752.893010091</v>
      </c>
      <c r="L102">
        <f t="shared" ref="L102:L110" si="28">POWER((C102-K102),2)</f>
        <v>46995456908.551033</v>
      </c>
    </row>
    <row r="103" spans="2:12" x14ac:dyDescent="0.3">
      <c r="B103" s="9" t="s">
        <v>1</v>
      </c>
      <c r="C103">
        <v>3904403.3448806182</v>
      </c>
      <c r="D103">
        <v>1.2</v>
      </c>
      <c r="E103">
        <v>373</v>
      </c>
      <c r="F103">
        <v>31.112511865534216</v>
      </c>
      <c r="G103">
        <v>128.8722756743087</v>
      </c>
      <c r="H103">
        <f t="shared" ref="H103:H110" si="29">$E$114*EXP(0.5254*F103)*EXP(-5.0231*D103)</f>
        <v>3706055.3301457502</v>
      </c>
      <c r="I103">
        <f t="shared" ref="I103:I110" si="30">POWER((C103-H103),2)</f>
        <v>39341934949.263397</v>
      </c>
      <c r="K103">
        <f t="shared" si="27"/>
        <v>3706055.3301457502</v>
      </c>
      <c r="L103">
        <f t="shared" si="28"/>
        <v>39341934949.263397</v>
      </c>
    </row>
    <row r="104" spans="2:12" x14ac:dyDescent="0.3">
      <c r="B104" s="9" t="s">
        <v>2</v>
      </c>
      <c r="C104">
        <v>1133032.7976744696</v>
      </c>
      <c r="D104">
        <v>1.4</v>
      </c>
      <c r="E104">
        <v>373</v>
      </c>
      <c r="F104">
        <v>31.112511865534216</v>
      </c>
      <c r="G104">
        <v>102.12879911023245</v>
      </c>
      <c r="H104">
        <f t="shared" si="29"/>
        <v>1357097.2688788378</v>
      </c>
      <c r="I104">
        <f t="shared" si="30"/>
        <v>50204887256.093132</v>
      </c>
      <c r="K104">
        <f t="shared" si="27"/>
        <v>1357097.2688788378</v>
      </c>
      <c r="L104">
        <f t="shared" si="28"/>
        <v>50204887256.093132</v>
      </c>
    </row>
    <row r="105" spans="2:12" x14ac:dyDescent="0.3">
      <c r="B105" s="9" t="s">
        <v>3</v>
      </c>
      <c r="C105">
        <v>3879555.3777134502</v>
      </c>
      <c r="D105">
        <v>1</v>
      </c>
      <c r="E105">
        <v>393</v>
      </c>
      <c r="F105">
        <v>29.529177928356905</v>
      </c>
      <c r="G105">
        <v>107.73785716420321</v>
      </c>
      <c r="H105">
        <f t="shared" si="29"/>
        <v>4404842.073244445</v>
      </c>
      <c r="I105">
        <f t="shared" si="30"/>
        <v>275926112501.87201</v>
      </c>
      <c r="K105">
        <f t="shared" si="27"/>
        <v>4404842.073244445</v>
      </c>
      <c r="L105">
        <f t="shared" si="28"/>
        <v>275926112501.87201</v>
      </c>
    </row>
    <row r="106" spans="2:12" x14ac:dyDescent="0.3">
      <c r="B106" s="9" t="s">
        <v>4</v>
      </c>
      <c r="C106">
        <v>1366820.0284198821</v>
      </c>
      <c r="D106">
        <v>1.2</v>
      </c>
      <c r="E106">
        <v>393</v>
      </c>
      <c r="F106">
        <v>29.529177928356905</v>
      </c>
      <c r="G106">
        <v>103.65699974024464</v>
      </c>
      <c r="H106">
        <f t="shared" si="29"/>
        <v>1612981.6246449663</v>
      </c>
      <c r="I106">
        <f t="shared" si="30"/>
        <v>60595531456.081421</v>
      </c>
      <c r="K106">
        <f t="shared" si="27"/>
        <v>1612981.6246449663</v>
      </c>
      <c r="L106">
        <f t="shared" si="28"/>
        <v>60595531456.081421</v>
      </c>
    </row>
    <row r="107" spans="2:12" x14ac:dyDescent="0.3">
      <c r="B107" s="9" t="s">
        <v>5</v>
      </c>
      <c r="C107">
        <v>665390.93342246278</v>
      </c>
      <c r="D107">
        <v>1.4</v>
      </c>
      <c r="E107">
        <v>393</v>
      </c>
      <c r="F107">
        <v>29.529177928356905</v>
      </c>
      <c r="G107">
        <v>137.80504006931534</v>
      </c>
      <c r="H107">
        <f t="shared" si="29"/>
        <v>590647.67321521556</v>
      </c>
      <c r="I107">
        <f t="shared" si="30"/>
        <v>5586554946.4082661</v>
      </c>
      <c r="K107">
        <f t="shared" si="27"/>
        <v>590647.67321521556</v>
      </c>
      <c r="L107">
        <f t="shared" si="28"/>
        <v>5586554946.4082661</v>
      </c>
    </row>
    <row r="108" spans="2:12" x14ac:dyDescent="0.3">
      <c r="B108" s="9" t="s">
        <v>6</v>
      </c>
      <c r="C108">
        <v>2127124.033824943</v>
      </c>
      <c r="D108">
        <v>1</v>
      </c>
      <c r="E108">
        <v>413</v>
      </c>
      <c r="F108">
        <v>28.09919352504664</v>
      </c>
      <c r="G108">
        <v>125.21911570957113</v>
      </c>
      <c r="H108">
        <f t="shared" si="29"/>
        <v>2077968.2252651008</v>
      </c>
      <c r="I108">
        <f t="shared" si="30"/>
        <v>2416293515.1718531</v>
      </c>
      <c r="K108">
        <f t="shared" si="27"/>
        <v>2077968.2252651008</v>
      </c>
      <c r="L108">
        <f t="shared" si="28"/>
        <v>2416293515.1718531</v>
      </c>
    </row>
    <row r="109" spans="2:12" x14ac:dyDescent="0.3">
      <c r="B109" s="9" t="s">
        <v>7</v>
      </c>
      <c r="C109">
        <v>683591.86080361751</v>
      </c>
      <c r="D109">
        <v>1.2</v>
      </c>
      <c r="E109">
        <v>413</v>
      </c>
      <c r="F109">
        <v>28.09919352504664</v>
      </c>
      <c r="G109">
        <v>109.89441549765985</v>
      </c>
      <c r="H109">
        <f t="shared" si="29"/>
        <v>760918.21414154861</v>
      </c>
      <c r="I109">
        <f t="shared" si="30"/>
        <v>5979364920.5425682</v>
      </c>
      <c r="K109">
        <f t="shared" si="27"/>
        <v>760918.21414154861</v>
      </c>
      <c r="L109">
        <f t="shared" si="28"/>
        <v>5979364920.5425682</v>
      </c>
    </row>
    <row r="110" spans="2:12" x14ac:dyDescent="0.3">
      <c r="B110" s="9" t="s">
        <v>8</v>
      </c>
      <c r="C110">
        <v>272802.03555597505</v>
      </c>
      <c r="D110">
        <v>1.4</v>
      </c>
      <c r="E110">
        <v>413</v>
      </c>
      <c r="F110">
        <v>28.09919352504664</v>
      </c>
      <c r="G110">
        <v>119.76426933664636</v>
      </c>
      <c r="H110">
        <f t="shared" si="29"/>
        <v>278635.89133491082</v>
      </c>
      <c r="I110">
        <f t="shared" si="30"/>
        <v>34033873.249422312</v>
      </c>
      <c r="K110">
        <f t="shared" si="27"/>
        <v>278635.89133491082</v>
      </c>
      <c r="L110">
        <f t="shared" si="28"/>
        <v>34033873.249422312</v>
      </c>
    </row>
    <row r="111" spans="2:12" x14ac:dyDescent="0.3">
      <c r="H111" t="s">
        <v>73</v>
      </c>
      <c r="I111">
        <f>SUM(I102:I110)</f>
        <v>487080170327.23309</v>
      </c>
      <c r="K111" t="s">
        <v>73</v>
      </c>
      <c r="L111">
        <f>SUM(L102:L110)</f>
        <v>487080170327.23309</v>
      </c>
    </row>
    <row r="114" spans="4:5" x14ac:dyDescent="0.3">
      <c r="D114" s="3" t="s">
        <v>60</v>
      </c>
      <c r="E114" s="3">
        <v>122.32542132129223</v>
      </c>
    </row>
  </sheetData>
  <sortState xmlns:xlrd2="http://schemas.microsoft.com/office/spreadsheetml/2017/richdata2" ref="L2:L31">
    <sortCondition ref="L2:L31"/>
  </sortState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139"/>
  <sheetViews>
    <sheetView topLeftCell="A81" zoomScale="26" zoomScaleNormal="70" workbookViewId="0">
      <selection activeCell="Q80" sqref="Q80"/>
    </sheetView>
  </sheetViews>
  <sheetFormatPr defaultRowHeight="14.4" x14ac:dyDescent="0.3"/>
  <cols>
    <col min="1" max="1" width="11.44140625" bestFit="1" customWidth="1"/>
    <col min="2" max="5" width="12" bestFit="1" customWidth="1"/>
    <col min="6" max="8" width="12.109375" bestFit="1" customWidth="1"/>
    <col min="9" max="9" width="19.21875" customWidth="1"/>
    <col min="10" max="10" width="14.5546875" bestFit="1" customWidth="1"/>
    <col min="11" max="11" width="12.21875" bestFit="1" customWidth="1"/>
    <col min="12" max="12" width="9.109375" bestFit="1" customWidth="1"/>
    <col min="13" max="13" width="8.88671875" customWidth="1"/>
    <col min="14" max="14" width="11.6640625" bestFit="1" customWidth="1"/>
    <col min="15" max="17" width="9.109375" bestFit="1" customWidth="1"/>
    <col min="19" max="19" width="9" bestFit="1" customWidth="1"/>
    <col min="20" max="20" width="9.109375" bestFit="1" customWidth="1"/>
    <col min="21" max="21" width="11.77734375" bestFit="1" customWidth="1"/>
    <col min="22" max="22" width="12.21875" bestFit="1" customWidth="1"/>
    <col min="23" max="23" width="11.6640625" bestFit="1" customWidth="1"/>
    <col min="24" max="25" width="9.109375" bestFit="1" customWidth="1"/>
  </cols>
  <sheetData>
    <row r="1" spans="1:10" x14ac:dyDescent="0.3">
      <c r="A1" s="9" t="s">
        <v>9</v>
      </c>
      <c r="B1" s="9" t="s">
        <v>10</v>
      </c>
      <c r="C1" s="9" t="s">
        <v>11</v>
      </c>
      <c r="D1" s="9" t="s">
        <v>12</v>
      </c>
      <c r="E1" s="9" t="s">
        <v>13</v>
      </c>
      <c r="F1" s="9" t="s">
        <v>14</v>
      </c>
      <c r="G1" s="9" t="s">
        <v>15</v>
      </c>
      <c r="H1" s="9" t="s">
        <v>16</v>
      </c>
      <c r="J1" t="s">
        <v>48</v>
      </c>
    </row>
    <row r="2" spans="1:10" x14ac:dyDescent="0.3">
      <c r="A2">
        <v>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J2" t="s">
        <v>49</v>
      </c>
    </row>
    <row r="3" spans="1:10" x14ac:dyDescent="0.3">
      <c r="A3">
        <v>10</v>
      </c>
      <c r="B3">
        <v>1.00000907369334</v>
      </c>
      <c r="C3">
        <v>1.00001961234333</v>
      </c>
      <c r="D3">
        <v>1.0000382392568801</v>
      </c>
      <c r="E3">
        <v>1.00006891366589</v>
      </c>
      <c r="F3">
        <v>1.0000005214877501</v>
      </c>
      <c r="G3">
        <v>1.00000521487759</v>
      </c>
      <c r="H3">
        <v>1.00015210059644</v>
      </c>
    </row>
    <row r="4" spans="1:10" x14ac:dyDescent="0.3">
      <c r="A4">
        <v>20</v>
      </c>
      <c r="B4">
        <v>1.0000181477983501</v>
      </c>
      <c r="C4">
        <v>1.0000392266098901</v>
      </c>
      <c r="D4">
        <v>1.00007648582497</v>
      </c>
      <c r="E4">
        <v>1.0001378510772501</v>
      </c>
      <c r="F4">
        <v>1.00000104297551</v>
      </c>
      <c r="G4">
        <v>1.00001042975518</v>
      </c>
      <c r="H4">
        <v>1.00030422340209</v>
      </c>
    </row>
    <row r="5" spans="1:10" x14ac:dyDescent="0.3">
      <c r="A5">
        <v>30</v>
      </c>
      <c r="B5">
        <v>1.0000272223150399</v>
      </c>
      <c r="C5">
        <v>1.00005884279986</v>
      </c>
      <c r="D5">
        <v>1.00011473970565</v>
      </c>
      <c r="E5">
        <v>1.0002068122422501</v>
      </c>
      <c r="F5">
        <v>1.00000156446327</v>
      </c>
      <c r="G5">
        <v>1.0000156446327699</v>
      </c>
      <c r="H5">
        <v>1.0004563684199901</v>
      </c>
    </row>
    <row r="6" spans="1:10" x14ac:dyDescent="0.3">
      <c r="A6">
        <v>40</v>
      </c>
      <c r="B6">
        <v>1.00003629724342</v>
      </c>
      <c r="C6">
        <v>1.0000784609134299</v>
      </c>
      <c r="D6">
        <v>1.0001530009003401</v>
      </c>
      <c r="E6">
        <v>1.0002757971691001</v>
      </c>
      <c r="F6">
        <v>1.0000020859510299</v>
      </c>
      <c r="G6">
        <v>1.0000208595103599</v>
      </c>
      <c r="H6">
        <v>1.00060853565318</v>
      </c>
    </row>
    <row r="7" spans="1:10" x14ac:dyDescent="0.3">
      <c r="A7">
        <v>50</v>
      </c>
      <c r="B7">
        <v>1.0000453725835201</v>
      </c>
      <c r="C7">
        <v>1.00009808095078</v>
      </c>
      <c r="D7">
        <v>1.00019126941043</v>
      </c>
      <c r="E7">
        <v>1.0003448058659601</v>
      </c>
      <c r="F7">
        <v>1.00000260743879</v>
      </c>
      <c r="G7">
        <v>1.0000260743879601</v>
      </c>
      <c r="H7">
        <v>1.0007607251046999</v>
      </c>
    </row>
    <row r="8" spans="1:10" x14ac:dyDescent="0.3">
      <c r="A8">
        <v>60</v>
      </c>
      <c r="B8">
        <v>1.00005444833535</v>
      </c>
      <c r="C8">
        <v>1.0001177029121</v>
      </c>
      <c r="D8">
        <v>1.00022954523731</v>
      </c>
      <c r="E8">
        <v>1.0004138383410299</v>
      </c>
      <c r="F8">
        <v>1.0000031289265501</v>
      </c>
      <c r="G8">
        <v>1.0000312892655501</v>
      </c>
      <c r="H8">
        <v>1.00091293677759</v>
      </c>
    </row>
    <row r="9" spans="1:10" x14ac:dyDescent="0.3">
      <c r="A9">
        <v>70</v>
      </c>
      <c r="B9">
        <v>1.00006352449893</v>
      </c>
      <c r="C9">
        <v>1.0001373267975899</v>
      </c>
      <c r="D9">
        <v>1.00026782838239</v>
      </c>
      <c r="E9">
        <v>1.0004828946025099</v>
      </c>
      <c r="F9">
        <v>1.0000036504143099</v>
      </c>
      <c r="G9">
        <v>1.00003650414314</v>
      </c>
      <c r="H9">
        <v>1.00106517623227</v>
      </c>
    </row>
    <row r="10" spans="1:10" x14ac:dyDescent="0.3">
      <c r="A10">
        <v>80</v>
      </c>
      <c r="B10">
        <v>1.00007260107429</v>
      </c>
      <c r="C10">
        <v>1.0001569526074301</v>
      </c>
      <c r="D10">
        <v>1.0003061188470701</v>
      </c>
      <c r="E10">
        <v>1.00055197465859</v>
      </c>
      <c r="F10">
        <v>1.00000417190207</v>
      </c>
      <c r="G10">
        <v>1.00004171902073</v>
      </c>
      <c r="H10">
        <v>1.00121743791642</v>
      </c>
    </row>
    <row r="11" spans="1:10" x14ac:dyDescent="0.3">
      <c r="A11">
        <v>90</v>
      </c>
      <c r="B11">
        <v>1.0000816780614401</v>
      </c>
      <c r="C11">
        <v>1.0001765803418201</v>
      </c>
      <c r="D11">
        <v>1.00034441663274</v>
      </c>
      <c r="E11">
        <v>1.0006210785174701</v>
      </c>
      <c r="F11">
        <v>1.0000046933898299</v>
      </c>
      <c r="G11">
        <v>1.00004693389833</v>
      </c>
      <c r="H11">
        <v>1.0013697218331099</v>
      </c>
    </row>
    <row r="12" spans="1:10" x14ac:dyDescent="0.3">
      <c r="A12">
        <v>100</v>
      </c>
      <c r="B12">
        <v>1.0000907554603899</v>
      </c>
      <c r="C12">
        <v>1.0001962100009301</v>
      </c>
      <c r="D12">
        <v>1.0003827217407999</v>
      </c>
      <c r="E12">
        <v>1.0006902061873499</v>
      </c>
      <c r="F12">
        <v>1.00000521487759</v>
      </c>
      <c r="G12">
        <v>1.00005214877592</v>
      </c>
      <c r="H12">
        <v>1.0015220279853601</v>
      </c>
    </row>
    <row r="13" spans="1:10" x14ac:dyDescent="0.3">
      <c r="A13">
        <v>110</v>
      </c>
      <c r="B13">
        <v>1.0000998332711799</v>
      </c>
      <c r="C13">
        <v>1.00021584158496</v>
      </c>
      <c r="D13">
        <v>1.00042103417266</v>
      </c>
      <c r="E13">
        <v>1.00075935767643</v>
      </c>
      <c r="F13">
        <v>1.0000057363653501</v>
      </c>
      <c r="G13">
        <v>1.0000573636535099</v>
      </c>
      <c r="H13">
        <v>1.00167435637623</v>
      </c>
    </row>
    <row r="14" spans="1:10" x14ac:dyDescent="0.3">
      <c r="A14">
        <v>120</v>
      </c>
      <c r="B14">
        <v>1.00010891149381</v>
      </c>
      <c r="C14">
        <v>1.0002354750940901</v>
      </c>
      <c r="D14">
        <v>1.00045935392971</v>
      </c>
      <c r="E14">
        <v>1.0008285329929301</v>
      </c>
      <c r="F14">
        <v>1.0000062578531099</v>
      </c>
      <c r="G14">
        <v>1.0000625785310999</v>
      </c>
      <c r="H14">
        <v>1.0018267070087501</v>
      </c>
    </row>
    <row r="15" spans="1:10" x14ac:dyDescent="0.3">
      <c r="A15">
        <v>130</v>
      </c>
      <c r="B15">
        <v>1.0001179901282999</v>
      </c>
      <c r="C15">
        <v>1.00025511052852</v>
      </c>
      <c r="D15">
        <v>1.0004976810133599</v>
      </c>
      <c r="E15">
        <v>1.0008977321450501</v>
      </c>
      <c r="F15">
        <v>1.00000677934087</v>
      </c>
      <c r="G15">
        <v>1.0000677934086999</v>
      </c>
      <c r="H15">
        <v>1.0019790854484201</v>
      </c>
    </row>
    <row r="16" spans="1:10" x14ac:dyDescent="0.3">
      <c r="A16">
        <v>140</v>
      </c>
      <c r="B16">
        <v>1.00012706917468</v>
      </c>
      <c r="C16">
        <v>1.00027474788844</v>
      </c>
      <c r="D16">
        <v>1.00053601542501</v>
      </c>
      <c r="E16">
        <v>1.0009669551410101</v>
      </c>
      <c r="F16">
        <v>1.0000073008286201</v>
      </c>
      <c r="G16">
        <v>1.0000730082862901</v>
      </c>
      <c r="H16">
        <v>1.0021314861378701</v>
      </c>
    </row>
    <row r="17" spans="1:8" x14ac:dyDescent="0.3">
      <c r="A17">
        <v>150</v>
      </c>
      <c r="B17">
        <v>1.0001361486329601</v>
      </c>
      <c r="C17">
        <v>1.00029438717403</v>
      </c>
      <c r="D17">
        <v>1.0005743571660499</v>
      </c>
      <c r="E17">
        <v>1.00103620198902</v>
      </c>
      <c r="F17">
        <v>1.00000782231638</v>
      </c>
      <c r="G17">
        <v>1.0000782231638801</v>
      </c>
      <c r="H17">
        <v>1.0022839090801401</v>
      </c>
    </row>
    <row r="18" spans="1:8" x14ac:dyDescent="0.3">
      <c r="A18">
        <v>160</v>
      </c>
      <c r="B18">
        <v>1.00014522850316</v>
      </c>
      <c r="C18">
        <v>1.0003140283854799</v>
      </c>
      <c r="D18">
        <v>1.00061270623789</v>
      </c>
      <c r="E18">
        <v>1.0011054726973001</v>
      </c>
      <c r="F18">
        <v>1.0000083438041401</v>
      </c>
      <c r="G18">
        <v>1.00008343804147</v>
      </c>
      <c r="H18">
        <v>1.0024363542782799</v>
      </c>
    </row>
    <row r="19" spans="1:8" x14ac:dyDescent="0.3">
      <c r="A19">
        <v>170</v>
      </c>
      <c r="B19">
        <v>1.00015430878531</v>
      </c>
      <c r="C19">
        <v>1.00033367152298</v>
      </c>
      <c r="D19">
        <v>1.00065106264193</v>
      </c>
      <c r="E19">
        <v>1.0011747672740701</v>
      </c>
      <c r="F19">
        <v>1.0000088652918999</v>
      </c>
      <c r="G19">
        <v>1.00008865291907</v>
      </c>
      <c r="H19">
        <v>1.00258882173534</v>
      </c>
    </row>
    <row r="20" spans="1:8" x14ac:dyDescent="0.3">
      <c r="A20">
        <v>180</v>
      </c>
      <c r="B20">
        <v>1.00016338947941</v>
      </c>
      <c r="C20">
        <v>1.00035331658672</v>
      </c>
      <c r="D20">
        <v>1.00068942637957</v>
      </c>
      <c r="E20">
        <v>1.00124408572756</v>
      </c>
      <c r="F20">
        <v>1.00000938677966</v>
      </c>
      <c r="G20">
        <v>1.00009386779666</v>
      </c>
      <c r="H20">
        <v>1.00274131145436</v>
      </c>
    </row>
    <row r="21" spans="1:8" x14ac:dyDescent="0.3">
      <c r="A21">
        <v>190</v>
      </c>
      <c r="B21">
        <v>1.00017247058548</v>
      </c>
      <c r="C21">
        <v>1.0003729635768901</v>
      </c>
      <c r="D21">
        <v>1.00072779745221</v>
      </c>
      <c r="E21">
        <v>1.0013134280660001</v>
      </c>
      <c r="F21">
        <v>1.0000099082674201</v>
      </c>
      <c r="G21">
        <v>1.00009908267425</v>
      </c>
      <c r="H21">
        <v>1.00289382900591</v>
      </c>
    </row>
    <row r="22" spans="1:8" x14ac:dyDescent="0.3">
      <c r="A22">
        <v>200</v>
      </c>
      <c r="B22">
        <v>1.00018155210356</v>
      </c>
      <c r="C22">
        <v>1.0003926124936799</v>
      </c>
      <c r="D22">
        <v>1.00076617586126</v>
      </c>
      <c r="E22">
        <v>1.0013827942975999</v>
      </c>
      <c r="F22">
        <v>1.00001042975518</v>
      </c>
      <c r="G22">
        <v>1.0001042975518399</v>
      </c>
      <c r="H22">
        <v>1.0030463688275499</v>
      </c>
    </row>
    <row r="23" spans="1:8" x14ac:dyDescent="0.3">
      <c r="A23">
        <v>210</v>
      </c>
      <c r="B23">
        <v>1.0001906340336499</v>
      </c>
      <c r="C23">
        <v>1.0004122633372801</v>
      </c>
      <c r="D23">
        <v>1.00080456160813</v>
      </c>
      <c r="E23">
        <v>1.0014521844306199</v>
      </c>
      <c r="F23">
        <v>1.00001095124294</v>
      </c>
      <c r="G23">
        <v>1.0001095124294399</v>
      </c>
      <c r="H23">
        <v>1.0031989309223299</v>
      </c>
    </row>
    <row r="24" spans="1:8" x14ac:dyDescent="0.3">
      <c r="A24">
        <v>220</v>
      </c>
      <c r="B24">
        <v>1.0001997163757701</v>
      </c>
      <c r="C24">
        <v>1.0004319161078701</v>
      </c>
      <c r="D24">
        <v>1.0008429546941999</v>
      </c>
      <c r="E24">
        <v>1.0015215984732699</v>
      </c>
      <c r="F24">
        <v>1.0000114727306999</v>
      </c>
      <c r="G24">
        <v>1.0001147273070301</v>
      </c>
      <c r="H24">
        <v>1.0033515152932999</v>
      </c>
    </row>
    <row r="25" spans="1:8" x14ac:dyDescent="0.3">
      <c r="A25">
        <v>230</v>
      </c>
      <c r="B25">
        <v>1.00020879912994</v>
      </c>
      <c r="C25">
        <v>1.0004515708056401</v>
      </c>
      <c r="D25">
        <v>1.0008813551208899</v>
      </c>
      <c r="E25">
        <v>1.0015910364338101</v>
      </c>
      <c r="F25">
        <v>1.00001199421846</v>
      </c>
      <c r="G25">
        <v>1.0001199421846201</v>
      </c>
      <c r="H25">
        <v>1.0035041219435099</v>
      </c>
    </row>
    <row r="26" spans="1:8" x14ac:dyDescent="0.3">
      <c r="A26">
        <v>240</v>
      </c>
      <c r="B26">
        <v>1.00021788229618</v>
      </c>
      <c r="C26">
        <v>1.0004712274307901</v>
      </c>
      <c r="D26">
        <v>1.0009197628896001</v>
      </c>
      <c r="E26">
        <v>1.00166049832047</v>
      </c>
      <c r="F26">
        <v>1.0000125157062201</v>
      </c>
      <c r="G26">
        <v>1.0001251570622101</v>
      </c>
      <c r="H26">
        <v>1.0036567508759999</v>
      </c>
    </row>
    <row r="27" spans="1:8" x14ac:dyDescent="0.3">
      <c r="A27">
        <v>250</v>
      </c>
      <c r="B27">
        <v>1.00022696587452</v>
      </c>
      <c r="C27">
        <v>1.0004908859835</v>
      </c>
      <c r="D27">
        <v>1.00095817800173</v>
      </c>
      <c r="E27">
        <v>1.0017299841414899</v>
      </c>
      <c r="F27">
        <v>1.0000130371939799</v>
      </c>
      <c r="G27">
        <v>1.00013037193981</v>
      </c>
      <c r="H27">
        <v>1.0038094076664299</v>
      </c>
    </row>
    <row r="28" spans="1:8" x14ac:dyDescent="0.3">
      <c r="A28">
        <v>260</v>
      </c>
      <c r="B28">
        <v>1.0002360498649601</v>
      </c>
      <c r="C28">
        <v>1.0005105464639601</v>
      </c>
      <c r="D28">
        <v>1.0009966004586801</v>
      </c>
      <c r="E28">
        <v>1.00179949390513</v>
      </c>
      <c r="F28">
        <v>1.00001355868174</v>
      </c>
      <c r="G28">
        <v>1.0001355868174</v>
      </c>
      <c r="H28">
        <v>1.00396208674729</v>
      </c>
    </row>
    <row r="29" spans="1:8" x14ac:dyDescent="0.3">
      <c r="A29">
        <v>270</v>
      </c>
      <c r="B29">
        <v>1.00024513426753</v>
      </c>
      <c r="C29">
        <v>1.00053020887236</v>
      </c>
      <c r="D29">
        <v>1.00103503026187</v>
      </c>
      <c r="E29">
        <v>1.00186902761963</v>
      </c>
      <c r="F29">
        <v>1.0000140801694899</v>
      </c>
      <c r="G29">
        <v>1.00014080169499</v>
      </c>
      <c r="H29">
        <v>1.0041147881216199</v>
      </c>
    </row>
    <row r="30" spans="1:8" x14ac:dyDescent="0.3">
      <c r="A30">
        <v>280</v>
      </c>
      <c r="B30">
        <v>1.0002542190822401</v>
      </c>
      <c r="C30">
        <v>1.00054987320889</v>
      </c>
      <c r="D30">
        <v>1.0010734674127</v>
      </c>
      <c r="E30">
        <v>1.0019385852932501</v>
      </c>
      <c r="F30">
        <v>1.00001460165725</v>
      </c>
      <c r="G30">
        <v>1.00014601657258</v>
      </c>
      <c r="H30">
        <v>1.00426751179247</v>
      </c>
    </row>
    <row r="31" spans="1:8" x14ac:dyDescent="0.3">
      <c r="A31">
        <v>290</v>
      </c>
      <c r="B31">
        <v>1.00026330430912</v>
      </c>
      <c r="C31">
        <v>1.0005695394737399</v>
      </c>
      <c r="D31">
        <v>1.00111191191256</v>
      </c>
      <c r="E31">
        <v>1.00200816693424</v>
      </c>
      <c r="F31">
        <v>1.0000151231450101</v>
      </c>
      <c r="G31">
        <v>1.0001512314501699</v>
      </c>
      <c r="H31">
        <v>1.0044202577629</v>
      </c>
    </row>
    <row r="32" spans="1:8" x14ac:dyDescent="0.3">
      <c r="A32">
        <v>300</v>
      </c>
      <c r="B32">
        <v>1.00027238994818</v>
      </c>
      <c r="C32">
        <v>1.0005892076670999</v>
      </c>
      <c r="D32">
        <v>1.00115036376287</v>
      </c>
      <c r="E32">
        <v>1.0020777725508501</v>
      </c>
      <c r="F32">
        <v>1.0000156446327699</v>
      </c>
      <c r="G32">
        <v>1.0001564463277699</v>
      </c>
      <c r="H32">
        <v>1.00457302603596</v>
      </c>
    </row>
    <row r="33" spans="1:8" x14ac:dyDescent="0.3">
      <c r="A33">
        <v>310</v>
      </c>
      <c r="B33">
        <v>1.0002814759994401</v>
      </c>
      <c r="C33">
        <v>1.00060887778916</v>
      </c>
      <c r="D33">
        <v>1.0011888229650301</v>
      </c>
      <c r="E33">
        <v>1.0021474021513599</v>
      </c>
      <c r="F33">
        <v>1.00001616612053</v>
      </c>
      <c r="G33">
        <v>1.0001616612053601</v>
      </c>
      <c r="H33">
        <v>1.00472582219239</v>
      </c>
    </row>
    <row r="34" spans="1:8" x14ac:dyDescent="0.3">
      <c r="A34">
        <v>320</v>
      </c>
      <c r="B34">
        <v>1.0002905624629199</v>
      </c>
      <c r="C34">
        <v>1.0006285498401</v>
      </c>
      <c r="D34">
        <v>1.0012272895204499</v>
      </c>
      <c r="E34">
        <v>1.00221705574403</v>
      </c>
      <c r="F34">
        <v>1.0000166876082901</v>
      </c>
      <c r="G34">
        <v>1.0001668760829501</v>
      </c>
      <c r="H34">
        <v>1.0048786406596</v>
      </c>
    </row>
    <row r="35" spans="1:8" x14ac:dyDescent="0.3">
      <c r="A35">
        <v>330</v>
      </c>
      <c r="B35">
        <v>1.00029964933864</v>
      </c>
      <c r="C35">
        <v>1.00064822382011</v>
      </c>
      <c r="D35">
        <v>1.00126576343053</v>
      </c>
      <c r="E35">
        <v>1.0022867333371099</v>
      </c>
      <c r="F35">
        <v>1.00001720909605</v>
      </c>
      <c r="G35">
        <v>1.0001720909605401</v>
      </c>
      <c r="H35">
        <v>1.00503148144062</v>
      </c>
    </row>
    <row r="36" spans="1:8" x14ac:dyDescent="0.3">
      <c r="A36">
        <v>340</v>
      </c>
      <c r="B36">
        <v>1.0003087366266199</v>
      </c>
      <c r="C36">
        <v>1.0006678997293901</v>
      </c>
      <c r="D36">
        <v>1.00130424469667</v>
      </c>
      <c r="E36">
        <v>1.00235643493889</v>
      </c>
      <c r="F36">
        <v>1.00001773058381</v>
      </c>
      <c r="G36">
        <v>1.00017730583814</v>
      </c>
      <c r="H36">
        <v>1.00518434453853</v>
      </c>
    </row>
    <row r="37" spans="1:8" x14ac:dyDescent="0.3">
      <c r="A37">
        <v>350</v>
      </c>
      <c r="B37">
        <v>1.00031782432688</v>
      </c>
      <c r="C37">
        <v>1.0006875775681301</v>
      </c>
      <c r="D37">
        <v>1.0013427333203</v>
      </c>
      <c r="E37">
        <v>1.0024261605576399</v>
      </c>
      <c r="F37">
        <v>1.0000182520715699</v>
      </c>
      <c r="G37">
        <v>1.00018252071573</v>
      </c>
      <c r="H37">
        <v>1.0053372299563801</v>
      </c>
    </row>
    <row r="38" spans="1:8" x14ac:dyDescent="0.3">
      <c r="A38">
        <v>360</v>
      </c>
      <c r="B38">
        <v>1.0003269124394301</v>
      </c>
      <c r="C38">
        <v>1.0007072573364999</v>
      </c>
      <c r="D38">
        <v>1.0013812293027999</v>
      </c>
      <c r="E38">
        <v>1.00249591020162</v>
      </c>
      <c r="F38">
        <v>1.00001877355933</v>
      </c>
      <c r="G38">
        <v>1.0001877365451399</v>
      </c>
      <c r="H38">
        <v>1.0054901376972101</v>
      </c>
    </row>
    <row r="39" spans="1:8" x14ac:dyDescent="0.3">
      <c r="A39">
        <v>370</v>
      </c>
      <c r="B39">
        <v>1.0003360009642901</v>
      </c>
      <c r="C39">
        <v>1.00072693903471</v>
      </c>
      <c r="D39">
        <v>1.0014197326456</v>
      </c>
      <c r="E39">
        <v>1.0025656838791199</v>
      </c>
      <c r="F39">
        <v>1.0000192950470901</v>
      </c>
      <c r="G39">
        <v>1.0001929523745601</v>
      </c>
      <c r="H39">
        <v>1.00564307334687</v>
      </c>
    </row>
    <row r="40" spans="1:8" x14ac:dyDescent="0.3">
      <c r="A40">
        <v>380</v>
      </c>
      <c r="B40">
        <v>1.0003450899014901</v>
      </c>
      <c r="C40">
        <v>1.00074662266294</v>
      </c>
      <c r="D40">
        <v>1.00145824335009</v>
      </c>
      <c r="E40">
        <v>1.00263548159842</v>
      </c>
      <c r="F40">
        <v>1.0000198165348499</v>
      </c>
      <c r="G40">
        <v>1.00019816820398</v>
      </c>
      <c r="H40">
        <v>1.0057960313276799</v>
      </c>
    </row>
    <row r="41" spans="1:8" x14ac:dyDescent="0.3">
      <c r="A41">
        <v>390</v>
      </c>
      <c r="B41">
        <v>1.00035417925103</v>
      </c>
      <c r="C41">
        <v>1.00076630822138</v>
      </c>
      <c r="D41">
        <v>1.00149676141768</v>
      </c>
      <c r="E41">
        <v>1.0027053033677999</v>
      </c>
      <c r="F41">
        <v>1.00002033802261</v>
      </c>
      <c r="G41">
        <v>1.0002033840333899</v>
      </c>
      <c r="H41">
        <v>1.0059490116426699</v>
      </c>
    </row>
    <row r="42" spans="1:8" x14ac:dyDescent="0.3">
      <c r="A42">
        <v>400</v>
      </c>
      <c r="B42">
        <v>1.00036326901295</v>
      </c>
      <c r="C42">
        <v>1.0007859957102201</v>
      </c>
      <c r="D42">
        <v>1.00153528684979</v>
      </c>
      <c r="E42">
        <v>1.0027751491955601</v>
      </c>
      <c r="F42">
        <v>1.0000208595103599</v>
      </c>
      <c r="G42">
        <v>1.0002085998628101</v>
      </c>
      <c r="H42">
        <v>1.00610201429493</v>
      </c>
    </row>
    <row r="43" spans="1:8" x14ac:dyDescent="0.3">
      <c r="A43">
        <v>410</v>
      </c>
      <c r="B43">
        <v>1.00037235918726</v>
      </c>
      <c r="C43">
        <v>1.0008056851296501</v>
      </c>
      <c r="D43">
        <v>1.0015738196478099</v>
      </c>
      <c r="E43">
        <v>1.00284501908997</v>
      </c>
      <c r="F43">
        <v>1.00002138099812</v>
      </c>
      <c r="G43">
        <v>1.00021381569222</v>
      </c>
      <c r="H43">
        <v>1.00625503928749</v>
      </c>
    </row>
    <row r="44" spans="1:8" x14ac:dyDescent="0.3">
      <c r="A44">
        <v>420</v>
      </c>
      <c r="B44">
        <v>1.00038144977397</v>
      </c>
      <c r="C44">
        <v>1.00082537647985</v>
      </c>
      <c r="D44">
        <v>1.0016123598131601</v>
      </c>
      <c r="E44">
        <v>1.00291491305934</v>
      </c>
      <c r="F44">
        <v>1.0000219024858801</v>
      </c>
      <c r="G44">
        <v>1.0002190315216399</v>
      </c>
      <c r="H44">
        <v>1.00640808662342</v>
      </c>
    </row>
    <row r="45" spans="1:8" x14ac:dyDescent="0.3">
      <c r="A45">
        <v>430</v>
      </c>
      <c r="B45">
        <v>1.00039054077311</v>
      </c>
      <c r="C45">
        <v>1.00084506976103</v>
      </c>
      <c r="D45">
        <v>1.0016509073472499</v>
      </c>
      <c r="E45">
        <v>1.00298483111196</v>
      </c>
      <c r="F45">
        <v>1.0000224239736399</v>
      </c>
      <c r="G45">
        <v>1.0002242473510501</v>
      </c>
      <c r="H45">
        <v>1.0065611618936701</v>
      </c>
    </row>
    <row r="46" spans="1:8" x14ac:dyDescent="0.3">
      <c r="A46">
        <v>440</v>
      </c>
      <c r="B46">
        <v>1.00039963218469</v>
      </c>
      <c r="C46">
        <v>1.00086476497336</v>
      </c>
      <c r="D46">
        <v>1.00168946225149</v>
      </c>
      <c r="E46">
        <v>1.0030547732561199</v>
      </c>
      <c r="F46">
        <v>1.0000229454614</v>
      </c>
      <c r="G46">
        <v>1.00022946318047</v>
      </c>
      <c r="H46">
        <v>1.0067142595154399</v>
      </c>
    </row>
    <row r="47" spans="1:8" x14ac:dyDescent="0.3">
      <c r="A47">
        <v>450</v>
      </c>
      <c r="B47">
        <v>1.00040872400874</v>
      </c>
      <c r="C47">
        <v>1.0008844621170301</v>
      </c>
      <c r="D47">
        <v>1.0017280245272699</v>
      </c>
      <c r="E47">
        <v>1.0031247395001299</v>
      </c>
      <c r="F47">
        <v>1.0000234669491599</v>
      </c>
      <c r="G47">
        <v>1.0002346790098899</v>
      </c>
      <c r="H47">
        <v>1.0068673794917899</v>
      </c>
    </row>
    <row r="48" spans="1:8" x14ac:dyDescent="0.3">
      <c r="A48">
        <v>460</v>
      </c>
      <c r="B48">
        <v>1.0004178162452699</v>
      </c>
      <c r="C48">
        <v>1.00090416119225</v>
      </c>
      <c r="D48">
        <v>1.0017665941760301</v>
      </c>
      <c r="E48">
        <v>1.0031947298522901</v>
      </c>
      <c r="F48">
        <v>1.00002398843692</v>
      </c>
      <c r="G48">
        <v>1.0002398948393001</v>
      </c>
      <c r="H48">
        <v>1.0070205218257899</v>
      </c>
    </row>
    <row r="49" spans="1:8" x14ac:dyDescent="0.3">
      <c r="A49">
        <v>470</v>
      </c>
      <c r="B49">
        <v>1.0004269088943001</v>
      </c>
      <c r="C49">
        <v>1.0009238621991901</v>
      </c>
      <c r="D49">
        <v>1.00180517119915</v>
      </c>
      <c r="E49">
        <v>1.00326474432091</v>
      </c>
      <c r="F49">
        <v>1.0000245099246801</v>
      </c>
      <c r="G49">
        <v>1.00024511066872</v>
      </c>
      <c r="H49">
        <v>1.0071736865205001</v>
      </c>
    </row>
    <row r="50" spans="1:8" x14ac:dyDescent="0.3">
      <c r="A50">
        <v>480</v>
      </c>
      <c r="B50">
        <v>1.00043600195585</v>
      </c>
      <c r="C50">
        <v>1.0009435651380401</v>
      </c>
      <c r="D50">
        <v>1.0018437555980599</v>
      </c>
      <c r="E50">
        <v>1.0033347829143</v>
      </c>
      <c r="F50">
        <v>1.0000250314124399</v>
      </c>
      <c r="G50">
        <v>1.0002503264981299</v>
      </c>
      <c r="H50">
        <v>1.00732687357897</v>
      </c>
    </row>
    <row r="51" spans="1:8" x14ac:dyDescent="0.3">
      <c r="A51">
        <v>490</v>
      </c>
      <c r="B51">
        <v>1.00044509542994</v>
      </c>
      <c r="C51">
        <v>1.0009632700089901</v>
      </c>
      <c r="D51">
        <v>1.00188234737417</v>
      </c>
      <c r="E51">
        <v>1.00340484564077</v>
      </c>
      <c r="F51">
        <v>1.0000255529002</v>
      </c>
      <c r="G51">
        <v>1.0002555423275501</v>
      </c>
      <c r="H51">
        <v>1.0074800885972599</v>
      </c>
    </row>
    <row r="52" spans="1:8" x14ac:dyDescent="0.3">
      <c r="A52">
        <v>500</v>
      </c>
      <c r="B52">
        <v>1.0004541893165799</v>
      </c>
      <c r="C52">
        <v>1.00098297681224</v>
      </c>
      <c r="D52">
        <v>1.0019209465288701</v>
      </c>
      <c r="E52">
        <v>1.0034749325086401</v>
      </c>
      <c r="F52">
        <v>1.0000260743879601</v>
      </c>
      <c r="G52">
        <v>1.00026075815696</v>
      </c>
      <c r="H52">
        <v>1.0076333259874799</v>
      </c>
    </row>
    <row r="53" spans="1:8" x14ac:dyDescent="0.3">
      <c r="A53">
        <v>510</v>
      </c>
      <c r="B53">
        <v>1.0004632836158001</v>
      </c>
      <c r="C53">
        <v>1.0010026855479801</v>
      </c>
      <c r="D53">
        <v>1.0019595530635901</v>
      </c>
      <c r="E53">
        <v>1.0035450435262201</v>
      </c>
      <c r="F53">
        <v>1.00002659587572</v>
      </c>
      <c r="G53">
        <v>1.00026597398638</v>
      </c>
      <c r="H53">
        <v>1.00778658575269</v>
      </c>
    </row>
    <row r="54" spans="1:8" x14ac:dyDescent="0.3">
      <c r="A54">
        <v>520</v>
      </c>
      <c r="B54">
        <v>1.0004723783276199</v>
      </c>
      <c r="C54">
        <v>1.00102239621638</v>
      </c>
      <c r="D54">
        <v>1.00199816697974</v>
      </c>
      <c r="E54">
        <v>1.0036151787018399</v>
      </c>
      <c r="F54">
        <v>1.00002711736348</v>
      </c>
      <c r="G54">
        <v>1.0002711898157901</v>
      </c>
      <c r="H54">
        <v>1.0079398678959599</v>
      </c>
    </row>
    <row r="55" spans="1:8" x14ac:dyDescent="0.3">
      <c r="A55">
        <v>530</v>
      </c>
      <c r="B55">
        <v>1.00048147345204</v>
      </c>
      <c r="C55">
        <v>1.00104210881765</v>
      </c>
      <c r="D55">
        <v>1.00203678827873</v>
      </c>
      <c r="E55">
        <v>1.00368533804382</v>
      </c>
      <c r="F55">
        <v>1.0000276388512299</v>
      </c>
      <c r="G55">
        <v>1.00027640564521</v>
      </c>
      <c r="H55">
        <v>1.0080931724203499</v>
      </c>
    </row>
    <row r="56" spans="1:8" x14ac:dyDescent="0.3">
      <c r="A56">
        <v>540</v>
      </c>
      <c r="B56">
        <v>1.0004905689890999</v>
      </c>
      <c r="C56">
        <v>1.0010618233519699</v>
      </c>
      <c r="D56">
        <v>1.0020754169619599</v>
      </c>
      <c r="E56">
        <v>1.0037555215604801</v>
      </c>
      <c r="F56">
        <v>1.00002816033899</v>
      </c>
      <c r="G56">
        <v>1.00028162147463</v>
      </c>
      <c r="H56">
        <v>1.00824649932893</v>
      </c>
    </row>
    <row r="57" spans="1:8" x14ac:dyDescent="0.3">
      <c r="A57">
        <v>550</v>
      </c>
      <c r="B57">
        <v>1.00049966493881</v>
      </c>
      <c r="C57">
        <v>1.0010815398195301</v>
      </c>
      <c r="D57">
        <v>1.0021140530308601</v>
      </c>
      <c r="E57">
        <v>1.00382572926016</v>
      </c>
      <c r="F57">
        <v>1.0000286818267501</v>
      </c>
      <c r="G57">
        <v>1.0002868373040401</v>
      </c>
      <c r="H57">
        <v>1.0083998542228401</v>
      </c>
    </row>
    <row r="58" spans="1:8" x14ac:dyDescent="0.3">
      <c r="A58">
        <v>560</v>
      </c>
      <c r="B58">
        <v>1.00050876130119</v>
      </c>
      <c r="C58">
        <v>1.0011012582205201</v>
      </c>
      <c r="D58">
        <v>1.0021526964868299</v>
      </c>
      <c r="E58">
        <v>1.0038959611511999</v>
      </c>
      <c r="F58">
        <v>1.00002920331451</v>
      </c>
      <c r="G58">
        <v>1.00029205313346</v>
      </c>
      <c r="H58">
        <v>1.0085532315091099</v>
      </c>
    </row>
    <row r="59" spans="1:8" x14ac:dyDescent="0.3">
      <c r="A59">
        <v>570</v>
      </c>
      <c r="B59">
        <v>1.0005178580762599</v>
      </c>
      <c r="C59">
        <v>1.00112097855513</v>
      </c>
      <c r="D59">
        <v>1.00219134733128</v>
      </c>
      <c r="E59">
        <v>1.0039662172419099</v>
      </c>
      <c r="F59">
        <v>1.00002972480227</v>
      </c>
      <c r="G59">
        <v>1.00029726896287</v>
      </c>
      <c r="H59">
        <v>1.0087066311908</v>
      </c>
    </row>
    <row r="60" spans="1:8" x14ac:dyDescent="0.3">
      <c r="A60">
        <v>580</v>
      </c>
      <c r="B60">
        <v>1.0005269552640399</v>
      </c>
      <c r="C60">
        <v>1.00114070082355</v>
      </c>
      <c r="D60">
        <v>1.0022300055656299</v>
      </c>
      <c r="E60">
        <v>1.0040364975406599</v>
      </c>
      <c r="F60">
        <v>1.0000302462900299</v>
      </c>
      <c r="G60">
        <v>1.0003024847922899</v>
      </c>
      <c r="H60">
        <v>1.0088600532709699</v>
      </c>
    </row>
    <row r="61" spans="1:8" x14ac:dyDescent="0.3">
      <c r="A61">
        <v>590</v>
      </c>
      <c r="B61">
        <v>1.0005360528645399</v>
      </c>
      <c r="C61">
        <v>1.00116042502597</v>
      </c>
      <c r="D61">
        <v>1.00226867119129</v>
      </c>
      <c r="E61">
        <v>1.00410680205576</v>
      </c>
      <c r="F61">
        <v>1.00003076777779</v>
      </c>
      <c r="G61">
        <v>1.0003077006217</v>
      </c>
      <c r="H61">
        <v>1.0090134977527001</v>
      </c>
    </row>
    <row r="62" spans="1:8" x14ac:dyDescent="0.3">
      <c r="A62">
        <v>600</v>
      </c>
      <c r="B62">
        <v>1.0005451508777801</v>
      </c>
      <c r="C62">
        <v>1.00118015116258</v>
      </c>
      <c r="D62">
        <v>1.0023073442096799</v>
      </c>
      <c r="E62">
        <v>1.00417713079558</v>
      </c>
      <c r="F62">
        <v>1.0000312892655501</v>
      </c>
      <c r="G62">
        <v>1.00031291645112</v>
      </c>
      <c r="H62">
        <v>1.00916696463905</v>
      </c>
    </row>
    <row r="63" spans="1:8" x14ac:dyDescent="0.3">
      <c r="A63">
        <v>610</v>
      </c>
      <c r="B63">
        <v>1.00055424930379</v>
      </c>
      <c r="C63">
        <v>1.0011998792335699</v>
      </c>
      <c r="D63">
        <v>1.0023460246222</v>
      </c>
      <c r="E63">
        <v>1.0042474837684501</v>
      </c>
      <c r="F63">
        <v>1.0000318107533099</v>
      </c>
      <c r="G63">
        <v>1.0003181322805299</v>
      </c>
      <c r="H63">
        <v>1.0093204595362799</v>
      </c>
    </row>
    <row r="64" spans="1:8" x14ac:dyDescent="0.3">
      <c r="A64">
        <v>620</v>
      </c>
      <c r="B64">
        <v>1.00056334814258</v>
      </c>
      <c r="C64">
        <v>1.0012196092391299</v>
      </c>
      <c r="D64">
        <v>1.00238471243028</v>
      </c>
      <c r="E64">
        <v>1.0043178609827299</v>
      </c>
      <c r="F64">
        <v>1.00003233224107</v>
      </c>
      <c r="G64">
        <v>1.0003233481099501</v>
      </c>
      <c r="H64">
        <v>1.0094739768463199</v>
      </c>
    </row>
    <row r="65" spans="1:8" x14ac:dyDescent="0.3">
      <c r="A65">
        <v>630</v>
      </c>
      <c r="B65">
        <v>1.00057244739417</v>
      </c>
      <c r="C65">
        <v>1.00123934117944</v>
      </c>
      <c r="D65">
        <v>1.00242340763531</v>
      </c>
      <c r="E65">
        <v>1.0043882624467699</v>
      </c>
      <c r="F65">
        <v>1.0000328537288301</v>
      </c>
      <c r="G65">
        <v>1.00032856393937</v>
      </c>
      <c r="H65">
        <v>1.0096275165722199</v>
      </c>
    </row>
    <row r="66" spans="1:8" x14ac:dyDescent="0.3">
      <c r="A66">
        <v>640</v>
      </c>
      <c r="B66">
        <v>1.0005815470585699</v>
      </c>
      <c r="C66">
        <v>1.0012590750547099</v>
      </c>
      <c r="D66">
        <v>1.0024621102387301</v>
      </c>
      <c r="E66">
        <v>1.0044586881689199</v>
      </c>
      <c r="F66">
        <v>1.00003337521659</v>
      </c>
      <c r="G66">
        <v>1.0003337797687799</v>
      </c>
      <c r="H66">
        <v>1.00978107871705</v>
      </c>
    </row>
    <row r="67" spans="1:8" x14ac:dyDescent="0.3">
      <c r="A67">
        <v>650</v>
      </c>
      <c r="B67">
        <v>1.0005906471358199</v>
      </c>
      <c r="C67">
        <v>1.0012788108651101</v>
      </c>
      <c r="D67">
        <v>1.0025008202419501</v>
      </c>
      <c r="E67">
        <v>1.0045291381575501</v>
      </c>
      <c r="F67">
        <v>1.0000338967043501</v>
      </c>
      <c r="G67">
        <v>1.0003389955982001</v>
      </c>
      <c r="H67">
        <v>1.0099346632838899</v>
      </c>
    </row>
    <row r="68" spans="1:8" x14ac:dyDescent="0.3">
      <c r="A68">
        <v>660</v>
      </c>
      <c r="B68">
        <v>1.0005997476259201</v>
      </c>
      <c r="C68">
        <v>1.0012985486108299</v>
      </c>
      <c r="D68">
        <v>1.0025395376463699</v>
      </c>
      <c r="E68">
        <v>1.0045996124210099</v>
      </c>
      <c r="F68">
        <v>1.0000344181921099</v>
      </c>
      <c r="G68">
        <v>1.00034421142761</v>
      </c>
      <c r="H68">
        <v>1.0100882702758001</v>
      </c>
    </row>
    <row r="69" spans="1:8" x14ac:dyDescent="0.3">
      <c r="A69">
        <v>670</v>
      </c>
      <c r="B69">
        <v>1.0006088485289</v>
      </c>
      <c r="C69">
        <v>1.0013182882920799</v>
      </c>
      <c r="D69">
        <v>1.0025782624534101</v>
      </c>
      <c r="E69">
        <v>1.0046701109676699</v>
      </c>
      <c r="F69">
        <v>1.00003493967986</v>
      </c>
      <c r="G69">
        <v>1.0003494272570299</v>
      </c>
      <c r="H69">
        <v>1.01024190530417</v>
      </c>
    </row>
    <row r="70" spans="1:8" x14ac:dyDescent="0.3">
      <c r="A70">
        <v>680</v>
      </c>
      <c r="B70">
        <v>1.00061794984477</v>
      </c>
      <c r="C70">
        <v>1.00133802990903</v>
      </c>
      <c r="D70">
        <v>1.0026169946645</v>
      </c>
      <c r="E70">
        <v>1.0047406338059</v>
      </c>
      <c r="F70">
        <v>1.0000354611676201</v>
      </c>
      <c r="G70">
        <v>1.0003546430864401</v>
      </c>
      <c r="H70">
        <v>1.0103955627658101</v>
      </c>
    </row>
    <row r="71" spans="1:8" x14ac:dyDescent="0.3">
      <c r="A71">
        <v>690</v>
      </c>
      <c r="B71">
        <v>1.00062705157356</v>
      </c>
      <c r="C71">
        <v>1.0013577734618799</v>
      </c>
      <c r="D71">
        <v>1.00265573428104</v>
      </c>
      <c r="E71">
        <v>1.0048111809440601</v>
      </c>
      <c r="F71">
        <v>1.00003598265538</v>
      </c>
      <c r="G71">
        <v>1.00035985891586</v>
      </c>
      <c r="H71">
        <v>1.0105492426637701</v>
      </c>
    </row>
    <row r="72" spans="1:8" x14ac:dyDescent="0.3">
      <c r="A72">
        <v>700</v>
      </c>
      <c r="B72">
        <v>1.0006361537152699</v>
      </c>
      <c r="C72">
        <v>1.0013775189508201</v>
      </c>
      <c r="D72">
        <v>1.00269448130445</v>
      </c>
      <c r="E72">
        <v>1.00488175239053</v>
      </c>
      <c r="F72">
        <v>1.00003650414314</v>
      </c>
      <c r="G72">
        <v>1.0003650747452799</v>
      </c>
      <c r="H72">
        <v>1.01070294500113</v>
      </c>
    </row>
    <row r="73" spans="1:8" x14ac:dyDescent="0.3">
      <c r="A73">
        <v>710</v>
      </c>
      <c r="B73">
        <v>1.0006452562699399</v>
      </c>
      <c r="C73">
        <v>1.00139726637603</v>
      </c>
      <c r="D73">
        <v>1.00273323573615</v>
      </c>
      <c r="E73">
        <v>1.0049523481536899</v>
      </c>
      <c r="F73">
        <v>1.0000370256308999</v>
      </c>
      <c r="G73">
        <v>1.0003702915266901</v>
      </c>
      <c r="H73">
        <v>1.01085666978097</v>
      </c>
    </row>
    <row r="74" spans="1:8" x14ac:dyDescent="0.3">
      <c r="A74">
        <v>720</v>
      </c>
      <c r="B74">
        <v>1.0006543592375701</v>
      </c>
      <c r="C74">
        <v>1.00141701573771</v>
      </c>
      <c r="D74">
        <v>1.00277199757755</v>
      </c>
      <c r="E74">
        <v>1.0050229682419101</v>
      </c>
      <c r="F74">
        <v>1.00003754711866</v>
      </c>
      <c r="G74">
        <v>1.0003755083081001</v>
      </c>
      <c r="H74">
        <v>1.0110104170063601</v>
      </c>
    </row>
    <row r="75" spans="1:8" x14ac:dyDescent="0.3">
      <c r="A75">
        <v>730</v>
      </c>
      <c r="B75">
        <v>1.0006634626182001</v>
      </c>
      <c r="C75">
        <v>1.00143676703604</v>
      </c>
      <c r="D75">
        <v>1.0028107668300701</v>
      </c>
      <c r="E75">
        <v>1.0050936126635801</v>
      </c>
      <c r="F75">
        <v>1.0000380686064201</v>
      </c>
      <c r="G75">
        <v>1.00038072508951</v>
      </c>
      <c r="H75">
        <v>1.0111641922937999</v>
      </c>
    </row>
    <row r="76" spans="1:8" x14ac:dyDescent="0.3">
      <c r="A76">
        <v>740</v>
      </c>
      <c r="B76">
        <v>1.0006725664118299</v>
      </c>
      <c r="C76">
        <v>1.00145652027123</v>
      </c>
      <c r="D76">
        <v>1.0028495434951199</v>
      </c>
      <c r="E76">
        <v>1.00516428142708</v>
      </c>
      <c r="F76">
        <v>1.0000385900941799</v>
      </c>
      <c r="G76">
        <v>1.00038594187093</v>
      </c>
      <c r="H76">
        <v>1.01131799003498</v>
      </c>
    </row>
    <row r="77" spans="1:8" x14ac:dyDescent="0.3">
      <c r="A77">
        <v>750</v>
      </c>
      <c r="B77">
        <v>1.00068167061848</v>
      </c>
      <c r="C77">
        <v>1.0014762754434401</v>
      </c>
      <c r="D77">
        <v>1.00288832757414</v>
      </c>
      <c r="E77">
        <v>1.0052349745408</v>
      </c>
      <c r="F77">
        <v>1.00003911158194</v>
      </c>
      <c r="G77">
        <v>1.00039115865234</v>
      </c>
      <c r="H77">
        <v>1.0114718102329701</v>
      </c>
    </row>
    <row r="78" spans="1:8" x14ac:dyDescent="0.3">
      <c r="A78">
        <v>760</v>
      </c>
      <c r="B78">
        <v>1.00069077523818</v>
      </c>
      <c r="C78">
        <v>1.0014960325528901</v>
      </c>
      <c r="D78">
        <v>1.0029271190685201</v>
      </c>
      <c r="E78">
        <v>1.00530569201312</v>
      </c>
      <c r="F78">
        <v>1.0000396330696999</v>
      </c>
      <c r="G78">
        <v>1.0003963754337499</v>
      </c>
      <c r="H78">
        <v>1.01162565289085</v>
      </c>
    </row>
    <row r="79" spans="1:8" x14ac:dyDescent="0.3">
      <c r="A79">
        <v>770</v>
      </c>
      <c r="B79">
        <v>1.0006998802709399</v>
      </c>
      <c r="C79">
        <v>1.0015157915997499</v>
      </c>
      <c r="D79">
        <v>1.0029659179796899</v>
      </c>
      <c r="E79">
        <v>1.00537643385245</v>
      </c>
      <c r="F79">
        <v>1.00004015455746</v>
      </c>
      <c r="G79">
        <v>1.0004015922151599</v>
      </c>
      <c r="H79">
        <v>1.0117795180117</v>
      </c>
    </row>
    <row r="80" spans="1:8" x14ac:dyDescent="0.3">
      <c r="A80">
        <v>780</v>
      </c>
      <c r="B80">
        <v>1.0007089857167799</v>
      </c>
      <c r="C80">
        <v>1.00153555258421</v>
      </c>
      <c r="D80">
        <v>1.0030047243090701</v>
      </c>
      <c r="E80">
        <v>1.0054472000671699</v>
      </c>
      <c r="F80">
        <v>1.0000406760452201</v>
      </c>
      <c r="G80">
        <v>1.0004068089965801</v>
      </c>
      <c r="H80">
        <v>1.01193340559858</v>
      </c>
    </row>
    <row r="81" spans="1:8" x14ac:dyDescent="0.3">
      <c r="A81">
        <v>790</v>
      </c>
      <c r="B81">
        <v>1.0007180915757199</v>
      </c>
      <c r="C81">
        <v>1.00155531550647</v>
      </c>
      <c r="D81">
        <v>1.00304353805808</v>
      </c>
      <c r="E81">
        <v>1.0055179906656899</v>
      </c>
      <c r="F81">
        <v>1.0000411975329799</v>
      </c>
      <c r="G81">
        <v>1.00041202577799</v>
      </c>
      <c r="H81">
        <v>1.0120873212731301</v>
      </c>
    </row>
    <row r="82" spans="1:8" x14ac:dyDescent="0.3">
      <c r="A82">
        <v>800</v>
      </c>
      <c r="B82">
        <v>1.0007271978477901</v>
      </c>
      <c r="C82">
        <v>1.00157508036672</v>
      </c>
      <c r="D82">
        <v>1.0030823592281299</v>
      </c>
      <c r="E82">
        <v>1.00558880565641</v>
      </c>
      <c r="F82">
        <v>1.00004171902073</v>
      </c>
      <c r="G82">
        <v>1.0004172425594</v>
      </c>
      <c r="H82">
        <v>1.0122412594219301</v>
      </c>
    </row>
    <row r="83" spans="1:8" x14ac:dyDescent="0.3">
      <c r="A83">
        <v>810</v>
      </c>
      <c r="B83">
        <v>1.00073630453298</v>
      </c>
      <c r="C83">
        <v>1.0015948471651499</v>
      </c>
      <c r="D83">
        <v>1.0031211878206501</v>
      </c>
      <c r="E83">
        <v>1.00565964504773</v>
      </c>
      <c r="F83">
        <v>1.0000422405084901</v>
      </c>
      <c r="G83">
        <v>1.00042245934081</v>
      </c>
      <c r="H83">
        <v>1.01239522004803</v>
      </c>
    </row>
    <row r="84" spans="1:8" x14ac:dyDescent="0.3">
      <c r="A84">
        <v>820</v>
      </c>
      <c r="B84">
        <v>1.0007454116313399</v>
      </c>
      <c r="C84">
        <v>1.0016146159019399</v>
      </c>
      <c r="D84">
        <v>1.0031600238370499</v>
      </c>
      <c r="E84">
        <v>1.0057305088480599</v>
      </c>
      <c r="F84">
        <v>1.00004276199625</v>
      </c>
      <c r="G84">
        <v>1.0004276761222299</v>
      </c>
      <c r="H84">
        <v>1.01254920315454</v>
      </c>
    </row>
    <row r="85" spans="1:8" x14ac:dyDescent="0.3">
      <c r="A85">
        <v>830</v>
      </c>
      <c r="B85">
        <v>1.0007545191428699</v>
      </c>
      <c r="C85">
        <v>1.0016343865772801</v>
      </c>
      <c r="D85">
        <v>1.00319886727875</v>
      </c>
      <c r="E85">
        <v>1.0058013970658199</v>
      </c>
      <c r="F85">
        <v>1.0000432834840101</v>
      </c>
      <c r="G85">
        <v>1.0004328929036399</v>
      </c>
      <c r="H85">
        <v>1.01270320874451</v>
      </c>
    </row>
    <row r="86" spans="1:8" x14ac:dyDescent="0.3">
      <c r="A86">
        <v>840</v>
      </c>
      <c r="B86">
        <v>1.0007636270675899</v>
      </c>
      <c r="C86">
        <v>1.0016541591913799</v>
      </c>
      <c r="D86">
        <v>1.0032377181471701</v>
      </c>
      <c r="E86">
        <v>1.0058723097094</v>
      </c>
      <c r="F86">
        <v>1.0000438049717699</v>
      </c>
      <c r="G86">
        <v>1.0004381096850501</v>
      </c>
      <c r="H86">
        <v>1.01285723682103</v>
      </c>
    </row>
    <row r="87" spans="1:8" x14ac:dyDescent="0.3">
      <c r="A87">
        <v>850</v>
      </c>
      <c r="B87">
        <v>1.00077273540553</v>
      </c>
      <c r="C87">
        <v>1.00167393374441</v>
      </c>
      <c r="D87">
        <v>1.0032765764437299</v>
      </c>
      <c r="E87">
        <v>1.00594324678724</v>
      </c>
      <c r="F87">
        <v>1.00004432645953</v>
      </c>
      <c r="G87">
        <v>1.0004433264664601</v>
      </c>
      <c r="H87">
        <v>1.0130112930108599</v>
      </c>
    </row>
    <row r="88" spans="1:8" x14ac:dyDescent="0.3">
      <c r="A88">
        <v>860</v>
      </c>
      <c r="B88">
        <v>1.0007818441567</v>
      </c>
      <c r="C88">
        <v>1.00169371023656</v>
      </c>
      <c r="D88">
        <v>1.00331544216985</v>
      </c>
      <c r="E88">
        <v>1.0060142083077499</v>
      </c>
      <c r="F88">
        <v>1.0000448479472901</v>
      </c>
      <c r="G88">
        <v>1.00044854324788</v>
      </c>
      <c r="H88">
        <v>1.0131653716954501</v>
      </c>
    </row>
    <row r="89" spans="1:8" x14ac:dyDescent="0.3">
      <c r="A89">
        <v>870</v>
      </c>
      <c r="B89">
        <v>1.0007909533211199</v>
      </c>
      <c r="C89">
        <v>1.0017134886680299</v>
      </c>
      <c r="D89">
        <v>1.00335431532696</v>
      </c>
      <c r="E89">
        <v>1.0060851942793501</v>
      </c>
      <c r="F89">
        <v>1.00004536943505</v>
      </c>
      <c r="G89">
        <v>1.00045376002929</v>
      </c>
      <c r="H89">
        <v>1.01331947287788</v>
      </c>
    </row>
    <row r="90" spans="1:8" x14ac:dyDescent="0.3">
      <c r="A90">
        <v>880</v>
      </c>
      <c r="B90">
        <v>1.0008000628988001</v>
      </c>
      <c r="C90">
        <v>1.0017332690390099</v>
      </c>
      <c r="D90">
        <v>1.0033931959164699</v>
      </c>
      <c r="E90">
        <v>1.00615620471047</v>
      </c>
      <c r="F90">
        <v>1.00004589092281</v>
      </c>
      <c r="G90">
        <v>1.0004589768107</v>
      </c>
      <c r="H90">
        <v>1.01347359656122</v>
      </c>
    </row>
    <row r="91" spans="1:8" x14ac:dyDescent="0.3">
      <c r="A91">
        <v>890</v>
      </c>
      <c r="B91">
        <v>1.0008091728897801</v>
      </c>
      <c r="C91">
        <v>1.0017530513496899</v>
      </c>
      <c r="D91">
        <v>1.0034320839398101</v>
      </c>
      <c r="E91">
        <v>1.00622723960954</v>
      </c>
      <c r="F91">
        <v>1.0000464124105699</v>
      </c>
      <c r="G91">
        <v>1.0004641935921099</v>
      </c>
      <c r="H91">
        <v>1.01362774274856</v>
      </c>
    </row>
    <row r="92" spans="1:8" x14ac:dyDescent="0.3">
      <c r="A92">
        <v>900</v>
      </c>
      <c r="B92">
        <v>1.00081828329406</v>
      </c>
      <c r="C92">
        <v>1.00177283560026</v>
      </c>
      <c r="D92">
        <v>1.00347097939839</v>
      </c>
      <c r="E92">
        <v>1.00629829898498</v>
      </c>
      <c r="F92">
        <v>1.00004693389833</v>
      </c>
      <c r="G92">
        <v>1.0004694103735301</v>
      </c>
      <c r="H92">
        <v>1.01378191144298</v>
      </c>
    </row>
    <row r="93" spans="1:8" x14ac:dyDescent="0.3">
      <c r="A93">
        <v>910</v>
      </c>
      <c r="B93">
        <v>1.0008273941116701</v>
      </c>
      <c r="C93">
        <v>1.0017926217908999</v>
      </c>
      <c r="D93">
        <v>1.0035098822936399</v>
      </c>
      <c r="E93">
        <v>1.00636938284523</v>
      </c>
      <c r="F93">
        <v>1.0000474553860901</v>
      </c>
      <c r="G93">
        <v>1.0004746271549401</v>
      </c>
      <c r="H93">
        <v>1.01393610827637</v>
      </c>
    </row>
    <row r="94" spans="1:8" x14ac:dyDescent="0.3">
      <c r="A94">
        <v>920</v>
      </c>
      <c r="B94">
        <v>1.00083650534262</v>
      </c>
      <c r="C94">
        <v>1.00181240992181</v>
      </c>
      <c r="D94">
        <v>1.0035487926269699</v>
      </c>
      <c r="E94">
        <v>1.0064404911987299</v>
      </c>
      <c r="F94">
        <v>1.0000479768738499</v>
      </c>
      <c r="G94">
        <v>1.00047984393635</v>
      </c>
      <c r="H94">
        <v>1.0140903276250599</v>
      </c>
    </row>
    <row r="95" spans="1:8" x14ac:dyDescent="0.3">
      <c r="A95">
        <v>930</v>
      </c>
      <c r="B95">
        <v>1.00084561698693</v>
      </c>
      <c r="C95">
        <v>1.0018321999931701</v>
      </c>
      <c r="D95">
        <v>1.0035877103998201</v>
      </c>
      <c r="E95">
        <v>1.00651162405392</v>
      </c>
      <c r="F95">
        <v>1.0000484983616</v>
      </c>
      <c r="G95">
        <v>1.00048506071776</v>
      </c>
      <c r="H95">
        <v>1.01424456949213</v>
      </c>
    </row>
    <row r="96" spans="1:8" x14ac:dyDescent="0.3">
      <c r="A96">
        <v>940</v>
      </c>
      <c r="B96">
        <v>1.0008547290446199</v>
      </c>
      <c r="C96">
        <v>1.00185199200519</v>
      </c>
      <c r="D96">
        <v>1.0036266356136001</v>
      </c>
      <c r="E96">
        <v>1.0065827814192301</v>
      </c>
      <c r="F96">
        <v>1.0000490198493599</v>
      </c>
      <c r="G96">
        <v>1.00049027749918</v>
      </c>
      <c r="H96">
        <v>1.01439883388065</v>
      </c>
    </row>
    <row r="97" spans="1:25" x14ac:dyDescent="0.3">
      <c r="A97">
        <v>950</v>
      </c>
      <c r="B97">
        <v>1.0008638415157201</v>
      </c>
      <c r="C97">
        <v>1.0018717859580499</v>
      </c>
      <c r="D97">
        <v>1.00366556826974</v>
      </c>
      <c r="E97">
        <v>1.00665396330312</v>
      </c>
      <c r="F97">
        <v>1.00004954133712</v>
      </c>
      <c r="G97">
        <v>1.0004954942805899</v>
      </c>
      <c r="H97">
        <v>1.01455312079371</v>
      </c>
    </row>
    <row r="98" spans="1:25" x14ac:dyDescent="0.3">
      <c r="A98">
        <v>960</v>
      </c>
      <c r="B98">
        <v>1.0008729544002299</v>
      </c>
      <c r="C98">
        <v>1.0018915818519301</v>
      </c>
      <c r="D98">
        <v>1.0037045083696601</v>
      </c>
      <c r="E98">
        <v>1.00672516971403</v>
      </c>
      <c r="F98">
        <v>1.0000500628248801</v>
      </c>
      <c r="G98">
        <v>1.0005007110619999</v>
      </c>
      <c r="H98">
        <v>1.0147074302343999</v>
      </c>
    </row>
    <row r="99" spans="1:25" x14ac:dyDescent="0.3">
      <c r="A99">
        <v>970</v>
      </c>
      <c r="B99">
        <v>1.00088206769818</v>
      </c>
      <c r="C99">
        <v>1.00191137968703</v>
      </c>
      <c r="D99">
        <v>1.00374345591478</v>
      </c>
      <c r="E99">
        <v>1.00679640066042</v>
      </c>
      <c r="F99">
        <v>1.0000505843126399</v>
      </c>
      <c r="G99">
        <v>1.0005059278434101</v>
      </c>
      <c r="H99">
        <v>1.01486176783975</v>
      </c>
    </row>
    <row r="100" spans="1:25" x14ac:dyDescent="0.3">
      <c r="A100">
        <v>980</v>
      </c>
      <c r="B100">
        <v>1.00089118140959</v>
      </c>
      <c r="C100">
        <v>1.0019311794635399</v>
      </c>
      <c r="D100">
        <v>1.0037824109065201</v>
      </c>
      <c r="E100">
        <v>1.0068676561507299</v>
      </c>
      <c r="F100">
        <v>1.0000511058004</v>
      </c>
      <c r="G100">
        <v>1.00051114462483</v>
      </c>
      <c r="H100">
        <v>1.01501612798096</v>
      </c>
    </row>
    <row r="101" spans="1:25" x14ac:dyDescent="0.3">
      <c r="A101">
        <v>990</v>
      </c>
      <c r="B101">
        <v>1.0009002955344699</v>
      </c>
      <c r="C101">
        <v>1.00195098118166</v>
      </c>
      <c r="D101">
        <v>1.0038213733463199</v>
      </c>
      <c r="E101">
        <v>1.00693893619343</v>
      </c>
      <c r="F101">
        <v>1.0000516272881601</v>
      </c>
      <c r="G101">
        <v>1.00051636140624</v>
      </c>
      <c r="H101">
        <v>1.01517051066109</v>
      </c>
    </row>
    <row r="102" spans="1:25" x14ac:dyDescent="0.3">
      <c r="A102">
        <v>1000</v>
      </c>
      <c r="B102">
        <v>1.00090941007284</v>
      </c>
      <c r="C102">
        <v>1.00197078484156</v>
      </c>
      <c r="D102">
        <v>1.0038603432355799</v>
      </c>
      <c r="E102">
        <v>1.0070102407969801</v>
      </c>
      <c r="F102">
        <v>1.00005214877592</v>
      </c>
      <c r="G102">
        <v>1.00052157818765</v>
      </c>
      <c r="H102">
        <v>1.01532491588325</v>
      </c>
      <c r="K102" s="1" t="s">
        <v>40</v>
      </c>
    </row>
    <row r="103" spans="1:25" x14ac:dyDescent="0.3">
      <c r="K103" s="11">
        <f>0.00008617</f>
        <v>8.6169999999999997E-5</v>
      </c>
    </row>
    <row r="105" spans="1:25" x14ac:dyDescent="0.3">
      <c r="B105" s="9" t="s">
        <v>10</v>
      </c>
      <c r="C105" s="9" t="s">
        <v>11</v>
      </c>
      <c r="D105" s="9" t="s">
        <v>12</v>
      </c>
      <c r="E105" s="9" t="s">
        <v>13</v>
      </c>
      <c r="F105" s="9" t="s">
        <v>14</v>
      </c>
      <c r="G105" s="9" t="s">
        <v>15</v>
      </c>
      <c r="H105" s="9" t="s">
        <v>16</v>
      </c>
      <c r="J105" s="12" t="s">
        <v>56</v>
      </c>
      <c r="K105" s="9" t="s">
        <v>37</v>
      </c>
      <c r="L105" s="9" t="s">
        <v>55</v>
      </c>
      <c r="M105" s="9" t="s">
        <v>47</v>
      </c>
      <c r="N105" s="9" t="s">
        <v>38</v>
      </c>
      <c r="O105" s="9" t="s">
        <v>39</v>
      </c>
      <c r="P105" s="9" t="s">
        <v>58</v>
      </c>
      <c r="Q105" s="9" t="s">
        <v>60</v>
      </c>
      <c r="S105" s="2" t="s">
        <v>57</v>
      </c>
      <c r="T105" s="9" t="s">
        <v>37</v>
      </c>
      <c r="U105" s="9" t="s">
        <v>55</v>
      </c>
      <c r="V105" s="9" t="s">
        <v>47</v>
      </c>
      <c r="W105" s="9" t="s">
        <v>38</v>
      </c>
      <c r="X105" s="9" t="s">
        <v>39</v>
      </c>
      <c r="Y105" s="9" t="s">
        <v>60</v>
      </c>
    </row>
    <row r="106" spans="1:25" x14ac:dyDescent="0.3">
      <c r="A106" s="9" t="s">
        <v>50</v>
      </c>
      <c r="B106" s="7">
        <v>8.9999999999999996E-7</v>
      </c>
      <c r="C106" s="7">
        <v>1.9999999999999999E-6</v>
      </c>
      <c r="D106" s="7">
        <v>3.9999999999999998E-6</v>
      </c>
      <c r="E106" s="7">
        <v>6.9999999999999999E-6</v>
      </c>
      <c r="F106" s="7">
        <v>4.9999999999999998E-8</v>
      </c>
      <c r="G106" s="7">
        <v>4.9999999999999998E-7</v>
      </c>
      <c r="H106" s="7">
        <v>2.0000000000000002E-5</v>
      </c>
      <c r="K106">
        <v>12</v>
      </c>
      <c r="L106">
        <v>353</v>
      </c>
      <c r="M106">
        <v>202579.50754883845</v>
      </c>
      <c r="N106" s="13">
        <f>1/($K$103*L106)</f>
        <v>32.875260413156546</v>
      </c>
      <c r="O106">
        <f>LN(M106)</f>
        <v>12.2188877183406</v>
      </c>
      <c r="P106">
        <f>LN(K106)</f>
        <v>2.4849066497880004</v>
      </c>
      <c r="Q106">
        <f>(M106)/(POWER(K106,-$S$130)*EXP($S$126*N106))</f>
        <v>439803.77528245241</v>
      </c>
      <c r="T106">
        <v>16</v>
      </c>
      <c r="U106">
        <v>253</v>
      </c>
      <c r="V106">
        <v>3646431.1358790919</v>
      </c>
      <c r="W106" s="13">
        <f>1/($K$103*U106)</f>
        <v>45.869434489503014</v>
      </c>
      <c r="X106">
        <f>LN(V106)</f>
        <v>15.109259476236765</v>
      </c>
      <c r="Y106">
        <f>V106/(POWER(T106,(-$S$130))*EXP($S$126*W106))</f>
        <v>316358.43933185359</v>
      </c>
    </row>
    <row r="107" spans="1:25" x14ac:dyDescent="0.3">
      <c r="A107" s="9" t="s">
        <v>47</v>
      </c>
      <c r="B107" s="10">
        <f>LN(1.2)/B106</f>
        <v>202579.50754883845</v>
      </c>
      <c r="C107" s="10">
        <f t="shared" ref="C107:H107" si="0">LN(1.2)/C106</f>
        <v>91160.778396977301</v>
      </c>
      <c r="D107" s="10">
        <f t="shared" si="0"/>
        <v>45580.38919848865</v>
      </c>
      <c r="E107" s="10">
        <f t="shared" si="0"/>
        <v>26045.936684850658</v>
      </c>
      <c r="F107" s="10">
        <f t="shared" si="0"/>
        <v>3646431.1358790919</v>
      </c>
      <c r="G107" s="10">
        <f t="shared" si="0"/>
        <v>364643.1135879092</v>
      </c>
      <c r="H107" s="10">
        <f t="shared" si="0"/>
        <v>9116.0778396977294</v>
      </c>
      <c r="K107">
        <v>14</v>
      </c>
      <c r="L107">
        <v>353</v>
      </c>
      <c r="M107">
        <v>91160.778396977301</v>
      </c>
      <c r="N107" s="13">
        <f>1/($K$103*L107)</f>
        <v>32.875260413156546</v>
      </c>
      <c r="O107">
        <f>LN(M107)</f>
        <v>11.420380022122828</v>
      </c>
      <c r="P107">
        <f>LN(K107)</f>
        <v>2.6390573296152584</v>
      </c>
      <c r="Q107">
        <f>(M107)/(POWER(K107,-$S$130)*EXP($S$126*N107))</f>
        <v>432899.5122355161</v>
      </c>
      <c r="T107">
        <v>16</v>
      </c>
      <c r="U107">
        <v>298</v>
      </c>
      <c r="V107">
        <v>364643.1135879092</v>
      </c>
      <c r="W107" s="13">
        <f t="shared" ref="W107:W109" si="1">1/($K$103*U107)</f>
        <v>38.942842033034438</v>
      </c>
      <c r="X107">
        <f t="shared" ref="X107:X109" si="2">LN(V107)</f>
        <v>12.806674383242719</v>
      </c>
      <c r="Y107">
        <f t="shared" ref="Y107:Y109" si="3">V107/(POWER(T107,(-$S$130))*EXP($S$126*W107))</f>
        <v>383465.39507918432</v>
      </c>
    </row>
    <row r="108" spans="1:25" x14ac:dyDescent="0.3">
      <c r="K108">
        <v>16</v>
      </c>
      <c r="L108">
        <v>353</v>
      </c>
      <c r="M108">
        <v>45580.38919848865</v>
      </c>
      <c r="N108" s="13">
        <f>1/($K$103*L108)</f>
        <v>32.875260413156546</v>
      </c>
      <c r="O108">
        <f>LN(M108)</f>
        <v>10.727232841562882</v>
      </c>
      <c r="P108">
        <f>LN(K108)</f>
        <v>2.7725887222397811</v>
      </c>
      <c r="Q108">
        <f>(M108)/(POWER(K108,-$S$130)*EXP($S$126*N108))</f>
        <v>426388.43073546293</v>
      </c>
      <c r="T108">
        <v>16</v>
      </c>
      <c r="U108">
        <v>353</v>
      </c>
      <c r="V108">
        <v>45580.38919848865</v>
      </c>
      <c r="W108" s="13">
        <f t="shared" si="1"/>
        <v>32.875260413156546</v>
      </c>
      <c r="X108">
        <f t="shared" si="2"/>
        <v>10.727232841562882</v>
      </c>
      <c r="Y108">
        <f t="shared" si="3"/>
        <v>426388.43073546293</v>
      </c>
    </row>
    <row r="109" spans="1:25" x14ac:dyDescent="0.3">
      <c r="K109">
        <v>18</v>
      </c>
      <c r="L109">
        <v>353</v>
      </c>
      <c r="M109">
        <v>26045.936684850658</v>
      </c>
      <c r="N109" s="13">
        <f>1/($K$103*L109)</f>
        <v>32.875260413156546</v>
      </c>
      <c r="O109">
        <f>LN(M109)</f>
        <v>10.16761705362746</v>
      </c>
      <c r="P109">
        <f>LN(K109)</f>
        <v>2.8903717578961645</v>
      </c>
      <c r="Q109">
        <f>(M109)/(POWER(K109,-$S$130)*EXP($S$126*N109))</f>
        <v>443087.1765006326</v>
      </c>
      <c r="T109">
        <v>16</v>
      </c>
      <c r="U109">
        <v>393</v>
      </c>
      <c r="V109">
        <v>9116.0778396977294</v>
      </c>
      <c r="W109" s="13">
        <f t="shared" si="1"/>
        <v>29.529177928356905</v>
      </c>
      <c r="X109">
        <f t="shared" si="2"/>
        <v>9.1177949291287828</v>
      </c>
      <c r="Y109">
        <f t="shared" si="3"/>
        <v>284624.77636135899</v>
      </c>
    </row>
    <row r="115" spans="1:20" x14ac:dyDescent="0.3">
      <c r="B115" s="9" t="s">
        <v>37</v>
      </c>
      <c r="C115" s="9" t="s">
        <v>55</v>
      </c>
      <c r="D115" s="9" t="s">
        <v>38</v>
      </c>
      <c r="E115" s="9" t="s">
        <v>60</v>
      </c>
      <c r="F115" s="9" t="s">
        <v>61</v>
      </c>
      <c r="G115" s="14" t="s">
        <v>68</v>
      </c>
      <c r="H115" s="14" t="s">
        <v>127</v>
      </c>
      <c r="I115" s="14" t="s">
        <v>125</v>
      </c>
    </row>
    <row r="116" spans="1:20" x14ac:dyDescent="0.3">
      <c r="A116" s="9" t="s">
        <v>10</v>
      </c>
      <c r="B116" s="8">
        <v>12</v>
      </c>
      <c r="C116" s="8">
        <v>353</v>
      </c>
      <c r="D116" s="8">
        <v>32.875260413156546</v>
      </c>
      <c r="E116" s="8">
        <v>439803.77528245241</v>
      </c>
      <c r="F116" s="8">
        <f>LN(E116)</f>
        <v>12.994083941155205</v>
      </c>
      <c r="G116" s="8">
        <v>202579.50754883801</v>
      </c>
      <c r="H116" s="8">
        <f t="shared" ref="H116:H122" si="4">$C$127*POWER(B116, -$S$130)*EXP($S$126*D116)</f>
        <v>146040.95064578357</v>
      </c>
      <c r="I116" s="8">
        <f>POWER((G116-H116), 2)</f>
        <v>3196608416.6799254</v>
      </c>
    </row>
    <row r="117" spans="1:20" x14ac:dyDescent="0.3">
      <c r="A117" s="9" t="s">
        <v>11</v>
      </c>
      <c r="B117" s="8">
        <v>14</v>
      </c>
      <c r="C117" s="8">
        <v>353</v>
      </c>
      <c r="D117" s="8">
        <v>32.875260413156546</v>
      </c>
      <c r="E117" s="8">
        <v>432899.5122355161</v>
      </c>
      <c r="F117" s="8">
        <f t="shared" ref="F117:F122" si="5">LN(E117)</f>
        <v>12.978260906692352</v>
      </c>
      <c r="G117" s="8">
        <v>91160.778396977301</v>
      </c>
      <c r="H117" s="8">
        <f t="shared" si="4"/>
        <v>66766.563211578905</v>
      </c>
      <c r="I117" s="8">
        <f t="shared" ref="I117:I122" si="6">POWER((G117-H117), 2)</f>
        <v>595077734.5115217</v>
      </c>
    </row>
    <row r="118" spans="1:20" x14ac:dyDescent="0.3">
      <c r="A118" s="9" t="s">
        <v>12</v>
      </c>
      <c r="B118" s="8">
        <v>16</v>
      </c>
      <c r="C118" s="8">
        <v>353</v>
      </c>
      <c r="D118" s="8">
        <v>32.875260413156546</v>
      </c>
      <c r="E118" s="8">
        <v>426388.43073546293</v>
      </c>
      <c r="F118" s="8">
        <f t="shared" si="5"/>
        <v>12.963106019044158</v>
      </c>
      <c r="G118" s="8">
        <v>45580.38919848865</v>
      </c>
      <c r="H118" s="8">
        <f t="shared" si="4"/>
        <v>33893.054506755841</v>
      </c>
      <c r="I118" s="8">
        <f t="shared" si="6"/>
        <v>136593792.19658124</v>
      </c>
    </row>
    <row r="119" spans="1:20" x14ac:dyDescent="0.3">
      <c r="A119" s="9" t="s">
        <v>13</v>
      </c>
      <c r="B119" s="8">
        <v>18</v>
      </c>
      <c r="C119" s="8">
        <v>353</v>
      </c>
      <c r="D119" s="8">
        <v>32.875260413156546</v>
      </c>
      <c r="E119" s="8">
        <v>443087.1765006326</v>
      </c>
      <c r="F119" s="8">
        <f t="shared" si="5"/>
        <v>13.001521816350456</v>
      </c>
      <c r="G119" s="8">
        <v>26045.936684850658</v>
      </c>
      <c r="H119" s="8">
        <f t="shared" si="4"/>
        <v>18637.553047173002</v>
      </c>
      <c r="I119" s="8">
        <f t="shared" si="6"/>
        <v>54884148.123010024</v>
      </c>
    </row>
    <row r="120" spans="1:20" x14ac:dyDescent="0.3">
      <c r="A120" s="9" t="s">
        <v>14</v>
      </c>
      <c r="B120" s="8">
        <v>16</v>
      </c>
      <c r="C120" s="8">
        <v>253</v>
      </c>
      <c r="D120" s="8">
        <v>45.869434489503014</v>
      </c>
      <c r="E120" s="8">
        <v>316358.43933185359</v>
      </c>
      <c r="F120" s="8">
        <f t="shared" si="5"/>
        <v>12.664631151418043</v>
      </c>
      <c r="G120" s="8">
        <v>3646431.1358790919</v>
      </c>
      <c r="H120" s="8">
        <f t="shared" si="4"/>
        <v>3654489.2191246878</v>
      </c>
      <c r="I120" s="8">
        <f t="shared" si="6"/>
        <v>64932705.59295363</v>
      </c>
    </row>
    <row r="121" spans="1:20" x14ac:dyDescent="0.3">
      <c r="A121" s="9" t="s">
        <v>15</v>
      </c>
      <c r="B121" s="8">
        <v>16</v>
      </c>
      <c r="C121" s="8">
        <v>298</v>
      </c>
      <c r="D121" s="8">
        <v>38.942842033034438</v>
      </c>
      <c r="E121" s="8">
        <v>383465.39507918432</v>
      </c>
      <c r="F121" s="8">
        <f t="shared" si="5"/>
        <v>12.857004661243977</v>
      </c>
      <c r="G121" s="8">
        <v>364643.1135879092</v>
      </c>
      <c r="H121" s="8">
        <f t="shared" si="4"/>
        <v>301494.87300637231</v>
      </c>
      <c r="I121" s="8">
        <f t="shared" si="6"/>
        <v>3987700288.5436635</v>
      </c>
    </row>
    <row r="122" spans="1:20" x14ac:dyDescent="0.3">
      <c r="A122" s="9" t="s">
        <v>16</v>
      </c>
      <c r="B122" s="8">
        <v>16</v>
      </c>
      <c r="C122" s="8">
        <v>393</v>
      </c>
      <c r="D122" s="8">
        <v>29.529177928356905</v>
      </c>
      <c r="E122" s="8">
        <v>284624.77636135899</v>
      </c>
      <c r="F122" s="8">
        <f t="shared" si="5"/>
        <v>12.55892701763489</v>
      </c>
      <c r="G122" s="8">
        <v>9116.0778396977294</v>
      </c>
      <c r="H122" s="8">
        <f t="shared" si="4"/>
        <v>10154.84773231365</v>
      </c>
      <c r="I122" s="8">
        <f t="shared" si="6"/>
        <v>1079042.889805292</v>
      </c>
    </row>
    <row r="123" spans="1:20" x14ac:dyDescent="0.3">
      <c r="B123" s="8"/>
      <c r="C123" s="8"/>
      <c r="D123" s="8"/>
      <c r="E123" s="8"/>
      <c r="F123" s="8"/>
      <c r="G123" s="8"/>
      <c r="H123" s="8" t="s">
        <v>73</v>
      </c>
      <c r="I123" s="8">
        <f>SUM(I116:I122)</f>
        <v>8036876128.5374603</v>
      </c>
    </row>
    <row r="125" spans="1:20" x14ac:dyDescent="0.3">
      <c r="S125" s="3" t="s">
        <v>95</v>
      </c>
      <c r="T125" s="3"/>
    </row>
    <row r="126" spans="1:20" x14ac:dyDescent="0.3">
      <c r="C126" s="14" t="s">
        <v>60</v>
      </c>
      <c r="E126" s="9" t="s">
        <v>62</v>
      </c>
      <c r="S126">
        <v>0.36020000000000002</v>
      </c>
    </row>
    <row r="127" spans="1:20" x14ac:dyDescent="0.3">
      <c r="B127" t="s">
        <v>93</v>
      </c>
      <c r="C127" s="3">
        <v>317057.54553860449</v>
      </c>
      <c r="E127" s="3">
        <f>EXP(AVERAGE(F116:F122))</f>
        <v>384480.3381638758</v>
      </c>
    </row>
    <row r="129" spans="3:20" x14ac:dyDescent="0.3">
      <c r="S129" s="3" t="s">
        <v>59</v>
      </c>
      <c r="T129" s="3"/>
    </row>
    <row r="130" spans="3:20" x14ac:dyDescent="0.3">
      <c r="C130" s="3">
        <v>317057.54553860449</v>
      </c>
      <c r="S130">
        <v>5.0773999999999999</v>
      </c>
    </row>
    <row r="139" spans="3:20" x14ac:dyDescent="0.3">
      <c r="H139" s="20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432CB-6D58-499F-9E90-744C544807E6}">
  <dimension ref="B1:CN402"/>
  <sheetViews>
    <sheetView zoomScale="55" zoomScaleNormal="25" workbookViewId="0">
      <selection activeCell="AV97" sqref="AV97"/>
    </sheetView>
  </sheetViews>
  <sheetFormatPr defaultRowHeight="14.4" x14ac:dyDescent="0.3"/>
  <cols>
    <col min="2" max="2" width="11.88671875" customWidth="1"/>
    <col min="3" max="3" width="11.109375" bestFit="1" customWidth="1"/>
    <col min="6" max="8" width="9" bestFit="1" customWidth="1"/>
    <col min="10" max="10" width="9.21875" bestFit="1" customWidth="1"/>
    <col min="11" max="11" width="14.6640625" bestFit="1" customWidth="1"/>
    <col min="12" max="12" width="14.21875" customWidth="1"/>
    <col min="14" max="14" width="9.21875" bestFit="1" customWidth="1"/>
    <col min="15" max="15" width="12.33203125" customWidth="1"/>
    <col min="16" max="16" width="14" bestFit="1" customWidth="1"/>
    <col min="18" max="18" width="14.77734375" bestFit="1" customWidth="1"/>
    <col min="19" max="19" width="14" bestFit="1" customWidth="1"/>
    <col min="21" max="21" width="9.21875" bestFit="1" customWidth="1"/>
    <col min="22" max="22" width="9" bestFit="1" customWidth="1"/>
    <col min="23" max="23" width="10.109375" customWidth="1"/>
    <col min="24" max="24" width="9.33203125" bestFit="1" customWidth="1"/>
    <col min="25" max="25" width="13.5546875" customWidth="1"/>
    <col min="26" max="27" width="13" customWidth="1"/>
    <col min="28" max="28" width="11" customWidth="1"/>
    <col min="29" max="29" width="12.88671875" customWidth="1"/>
    <col min="30" max="30" width="12.33203125" customWidth="1"/>
    <col min="31" max="31" width="12.6640625" customWidth="1"/>
    <col min="32" max="32" width="12.5546875" customWidth="1"/>
    <col min="33" max="33" width="13.5546875" customWidth="1"/>
    <col min="34" max="34" width="14.21875" customWidth="1"/>
    <col min="35" max="35" width="14.6640625" customWidth="1"/>
    <col min="36" max="36" width="12.77734375" customWidth="1"/>
    <col min="37" max="37" width="10.33203125" customWidth="1"/>
    <col min="38" max="39" width="10.6640625" customWidth="1"/>
    <col min="40" max="40" width="11.109375" customWidth="1"/>
    <col min="41" max="41" width="10.88671875" customWidth="1"/>
    <col min="42" max="43" width="12" customWidth="1"/>
    <col min="44" max="44" width="11.21875" customWidth="1"/>
    <col min="45" max="45" width="12.33203125" customWidth="1"/>
    <col min="46" max="46" width="13" bestFit="1" customWidth="1"/>
    <col min="47" max="50" width="13.33203125" bestFit="1" customWidth="1"/>
    <col min="51" max="53" width="12.21875" bestFit="1" customWidth="1"/>
    <col min="54" max="57" width="13.33203125" bestFit="1" customWidth="1"/>
    <col min="58" max="62" width="14" bestFit="1" customWidth="1"/>
    <col min="63" max="67" width="16.88671875" bestFit="1" customWidth="1"/>
    <col min="68" max="68" width="13" bestFit="1" customWidth="1"/>
    <col min="69" max="72" width="11.88671875" bestFit="1" customWidth="1"/>
    <col min="73" max="76" width="13" bestFit="1" customWidth="1"/>
    <col min="77" max="77" width="11.88671875" bestFit="1" customWidth="1"/>
    <col min="78" max="78" width="13" bestFit="1" customWidth="1"/>
    <col min="79" max="80" width="11.88671875" bestFit="1" customWidth="1"/>
    <col min="81" max="81" width="13" bestFit="1" customWidth="1"/>
    <col min="82" max="82" width="10" bestFit="1" customWidth="1"/>
    <col min="83" max="83" width="12" bestFit="1" customWidth="1"/>
    <col min="84" max="84" width="10" bestFit="1" customWidth="1"/>
    <col min="85" max="86" width="13" bestFit="1" customWidth="1"/>
    <col min="87" max="87" width="11.88671875" bestFit="1" customWidth="1"/>
    <col min="88" max="88" width="13" bestFit="1" customWidth="1"/>
    <col min="89" max="91" width="11.88671875" bestFit="1" customWidth="1"/>
    <col min="92" max="92" width="13" bestFit="1" customWidth="1"/>
  </cols>
  <sheetData>
    <row r="1" spans="2:69" x14ac:dyDescent="0.3">
      <c r="I1" s="19" t="s">
        <v>74</v>
      </c>
      <c r="M1" s="19" t="s">
        <v>83</v>
      </c>
      <c r="Q1" s="19" t="s">
        <v>91</v>
      </c>
    </row>
    <row r="2" spans="2:69" x14ac:dyDescent="0.3">
      <c r="F2" s="14" t="s">
        <v>76</v>
      </c>
      <c r="G2" s="14" t="s">
        <v>55</v>
      </c>
      <c r="H2" s="14" t="s">
        <v>38</v>
      </c>
      <c r="J2" s="14" t="s">
        <v>88</v>
      </c>
      <c r="K2" s="14" t="s">
        <v>89</v>
      </c>
      <c r="L2" s="14" t="s">
        <v>90</v>
      </c>
      <c r="N2" s="14" t="s">
        <v>85</v>
      </c>
      <c r="O2" s="14" t="s">
        <v>86</v>
      </c>
      <c r="P2" s="14" t="s">
        <v>87</v>
      </c>
      <c r="R2" s="14" t="s">
        <v>92</v>
      </c>
      <c r="S2" s="14" t="s">
        <v>84</v>
      </c>
    </row>
    <row r="3" spans="2:69" x14ac:dyDescent="0.3">
      <c r="F3">
        <v>10</v>
      </c>
      <c r="G3">
        <f>F3+273</f>
        <v>283</v>
      </c>
      <c r="H3">
        <f t="shared" ref="H3:H66" si="0">1/($B$18*G3)</f>
        <v>41.006950268000928</v>
      </c>
      <c r="J3">
        <v>0.1</v>
      </c>
      <c r="K3">
        <f>$C$7*EXP($C$5*H3)*EXP(-$C$6*J3)</f>
        <v>168368877374.33322</v>
      </c>
      <c r="L3">
        <f t="shared" ref="L3:L66" si="1">EXP(-$B$22/K3)</f>
        <v>0.99999911551388554</v>
      </c>
      <c r="N3">
        <v>1</v>
      </c>
      <c r="O3">
        <f>$C$11*POWER(N3,-$C$10)*EXP($C$9*H3)</f>
        <v>824087092491.01904</v>
      </c>
      <c r="P3">
        <f t="shared" ref="P3:P66" si="2">EXP(-$B$22/O3)</f>
        <v>0.99999981929096105</v>
      </c>
      <c r="R3">
        <f>MIN(K3,O3)</f>
        <v>168368877374.33322</v>
      </c>
      <c r="S3">
        <f t="shared" ref="S3:S66" si="3">EXP(-$B$22/R3)</f>
        <v>0.99999911551388554</v>
      </c>
    </row>
    <row r="4" spans="2:69" x14ac:dyDescent="0.3">
      <c r="F4">
        <v>10</v>
      </c>
      <c r="G4">
        <f t="shared" ref="G4:G67" si="4">F4+273</f>
        <v>283</v>
      </c>
      <c r="H4">
        <f t="shared" si="0"/>
        <v>41.006950268000928</v>
      </c>
      <c r="J4">
        <v>0.2</v>
      </c>
      <c r="K4">
        <f t="shared" ref="K4:K41" si="5">$C$7*EXP($C$5*H4)*EXP(-$C$6*J4)</f>
        <v>101885259275.60329</v>
      </c>
      <c r="L4">
        <f t="shared" si="1"/>
        <v>0.99999853835685137</v>
      </c>
      <c r="N4">
        <v>2</v>
      </c>
      <c r="O4">
        <f t="shared" ref="O4:O67" si="6">$C$11*POWER(N4,-$C$10)*EXP($C$9*H4)</f>
        <v>24407506404.579403</v>
      </c>
      <c r="P4">
        <f t="shared" si="2"/>
        <v>0.99999389861695731</v>
      </c>
      <c r="R4">
        <f t="shared" ref="R4:R67" si="7">MIN(K4,O4)</f>
        <v>24407506404.579403</v>
      </c>
      <c r="S4">
        <f t="shared" si="3"/>
        <v>0.99999389861695731</v>
      </c>
    </row>
    <row r="5" spans="2:69" x14ac:dyDescent="0.3">
      <c r="B5" s="9" t="s">
        <v>78</v>
      </c>
      <c r="C5">
        <v>0.52539999999999998</v>
      </c>
      <c r="F5">
        <v>10</v>
      </c>
      <c r="G5">
        <f t="shared" si="4"/>
        <v>283</v>
      </c>
      <c r="H5">
        <f t="shared" si="0"/>
        <v>41.006950268000928</v>
      </c>
      <c r="J5">
        <v>0.3</v>
      </c>
      <c r="K5">
        <f t="shared" si="5"/>
        <v>61653948280.3451</v>
      </c>
      <c r="L5">
        <f t="shared" si="1"/>
        <v>0.99999758458583266</v>
      </c>
      <c r="N5">
        <v>3</v>
      </c>
      <c r="O5">
        <f t="shared" si="6"/>
        <v>3114853699.2743506</v>
      </c>
      <c r="P5">
        <f t="shared" si="2"/>
        <v>0.99995219151378234</v>
      </c>
      <c r="R5">
        <f t="shared" si="7"/>
        <v>3114853699.2743506</v>
      </c>
      <c r="S5">
        <f t="shared" si="3"/>
        <v>0.99995219151378234</v>
      </c>
    </row>
    <row r="6" spans="2:69" x14ac:dyDescent="0.3">
      <c r="B6" s="9" t="s">
        <v>79</v>
      </c>
      <c r="C6">
        <v>5.0231000000000003</v>
      </c>
      <c r="F6">
        <v>10</v>
      </c>
      <c r="G6">
        <f t="shared" si="4"/>
        <v>283</v>
      </c>
      <c r="H6">
        <f t="shared" si="0"/>
        <v>41.006950268000928</v>
      </c>
      <c r="J6">
        <v>0.4</v>
      </c>
      <c r="K6">
        <f t="shared" si="5"/>
        <v>37308727146.417336</v>
      </c>
      <c r="L6">
        <f t="shared" si="1"/>
        <v>0.99999600844858083</v>
      </c>
      <c r="N6">
        <v>4</v>
      </c>
      <c r="O6">
        <f t="shared" si="6"/>
        <v>722892488.32771516</v>
      </c>
      <c r="P6">
        <f t="shared" si="2"/>
        <v>0.9997940154804893</v>
      </c>
      <c r="R6">
        <f t="shared" si="7"/>
        <v>722892488.32771516</v>
      </c>
      <c r="S6">
        <f t="shared" si="3"/>
        <v>0.9997940154804893</v>
      </c>
      <c r="W6" s="2"/>
    </row>
    <row r="7" spans="2:69" x14ac:dyDescent="0.3">
      <c r="B7" s="9" t="s">
        <v>81</v>
      </c>
      <c r="C7">
        <v>122.325</v>
      </c>
      <c r="F7">
        <v>10</v>
      </c>
      <c r="G7">
        <f t="shared" si="4"/>
        <v>283</v>
      </c>
      <c r="H7">
        <f t="shared" si="0"/>
        <v>41.006950268000928</v>
      </c>
      <c r="J7">
        <v>0.5</v>
      </c>
      <c r="K7">
        <f t="shared" si="5"/>
        <v>22576674488.980938</v>
      </c>
      <c r="L7">
        <f t="shared" si="1"/>
        <v>0.99999340383328283</v>
      </c>
      <c r="N7">
        <v>5</v>
      </c>
      <c r="O7">
        <f t="shared" si="6"/>
        <v>232821354.70528662</v>
      </c>
      <c r="P7">
        <f t="shared" si="2"/>
        <v>0.99936057247266219</v>
      </c>
      <c r="R7">
        <f t="shared" si="7"/>
        <v>232821354.70528662</v>
      </c>
      <c r="S7">
        <f t="shared" si="3"/>
        <v>0.99936057247266219</v>
      </c>
    </row>
    <row r="8" spans="2:69" x14ac:dyDescent="0.3">
      <c r="F8">
        <v>10</v>
      </c>
      <c r="G8">
        <f t="shared" si="4"/>
        <v>283</v>
      </c>
      <c r="H8">
        <f t="shared" si="0"/>
        <v>41.006950268000928</v>
      </c>
      <c r="J8">
        <v>0.6</v>
      </c>
      <c r="K8">
        <f t="shared" si="5"/>
        <v>13661849920.021959</v>
      </c>
      <c r="L8">
        <f t="shared" si="1"/>
        <v>0.99998909963224392</v>
      </c>
      <c r="N8">
        <v>6</v>
      </c>
      <c r="O8">
        <f t="shared" si="6"/>
        <v>92254583.656393185</v>
      </c>
      <c r="P8">
        <f t="shared" si="2"/>
        <v>0.9983870734300776</v>
      </c>
      <c r="R8">
        <f t="shared" si="7"/>
        <v>92254583.656393185</v>
      </c>
      <c r="S8">
        <f t="shared" si="3"/>
        <v>0.9983870734300776</v>
      </c>
      <c r="Y8" t="s">
        <v>117</v>
      </c>
      <c r="AV8" t="s">
        <v>118</v>
      </c>
    </row>
    <row r="9" spans="2:69" x14ac:dyDescent="0.3">
      <c r="B9" s="9" t="s">
        <v>77</v>
      </c>
      <c r="C9">
        <v>0.36020000000000002</v>
      </c>
      <c r="F9">
        <v>10</v>
      </c>
      <c r="G9">
        <f t="shared" si="4"/>
        <v>283</v>
      </c>
      <c r="H9">
        <f t="shared" si="0"/>
        <v>41.006950268000928</v>
      </c>
      <c r="J9">
        <v>0.7</v>
      </c>
      <c r="K9">
        <f t="shared" si="5"/>
        <v>8267211511.9656353</v>
      </c>
      <c r="L9">
        <f t="shared" si="1"/>
        <v>0.99998198683334516</v>
      </c>
      <c r="N9">
        <v>7</v>
      </c>
      <c r="O9">
        <f t="shared" si="6"/>
        <v>42176673.487918675</v>
      </c>
      <c r="P9">
        <f t="shared" si="2"/>
        <v>0.99647536448696317</v>
      </c>
      <c r="R9">
        <f t="shared" si="7"/>
        <v>42176673.487918675</v>
      </c>
      <c r="S9">
        <f t="shared" si="3"/>
        <v>0.99647536448696317</v>
      </c>
      <c r="Z9" s="22" t="s">
        <v>96</v>
      </c>
      <c r="AA9" s="21">
        <v>0.1</v>
      </c>
      <c r="AB9" s="21">
        <v>0.2</v>
      </c>
      <c r="AC9" s="21">
        <v>0.3</v>
      </c>
      <c r="AD9" s="21">
        <v>0.4</v>
      </c>
      <c r="AE9" s="21">
        <v>0.5</v>
      </c>
      <c r="AF9" s="21">
        <v>0.6</v>
      </c>
      <c r="AG9" s="21">
        <v>0.7</v>
      </c>
      <c r="AH9" s="21">
        <v>0.8</v>
      </c>
      <c r="AI9" s="21">
        <v>0.9</v>
      </c>
      <c r="AJ9" s="21">
        <v>1</v>
      </c>
      <c r="AK9" s="21">
        <v>1.1000000000000001</v>
      </c>
      <c r="AL9" s="21">
        <v>1.2</v>
      </c>
      <c r="AM9" s="21">
        <v>1.3</v>
      </c>
      <c r="AN9" s="21">
        <v>1.4</v>
      </c>
      <c r="AO9" s="21">
        <v>1.5</v>
      </c>
      <c r="AP9" s="21">
        <v>1.6</v>
      </c>
      <c r="AQ9" s="21">
        <v>1.7</v>
      </c>
      <c r="AR9" s="21">
        <v>1.8</v>
      </c>
      <c r="AS9" s="21">
        <v>1.9</v>
      </c>
      <c r="AT9" s="21">
        <v>2</v>
      </c>
      <c r="AW9" s="22" t="s">
        <v>96</v>
      </c>
      <c r="AX9" s="21">
        <v>0.1</v>
      </c>
      <c r="AY9" s="21">
        <v>0.2</v>
      </c>
      <c r="AZ9" s="21">
        <v>0.3</v>
      </c>
      <c r="BA9" s="21">
        <v>0.4</v>
      </c>
      <c r="BB9" s="21">
        <v>0.5</v>
      </c>
      <c r="BC9" s="21">
        <v>0.6</v>
      </c>
      <c r="BD9" s="21">
        <v>0.7</v>
      </c>
      <c r="BE9" s="21">
        <v>0.8</v>
      </c>
      <c r="BF9" s="21">
        <v>0.9</v>
      </c>
      <c r="BG9" s="21">
        <v>1</v>
      </c>
      <c r="BH9" s="21">
        <v>1.1000000000000001</v>
      </c>
      <c r="BI9" s="21">
        <v>1.2</v>
      </c>
      <c r="BJ9" s="21">
        <v>1.3</v>
      </c>
      <c r="BK9" s="21">
        <v>1.4</v>
      </c>
      <c r="BL9" s="21">
        <v>1.5</v>
      </c>
      <c r="BM9" s="21">
        <v>1.6</v>
      </c>
      <c r="BN9" s="21">
        <v>1.7</v>
      </c>
      <c r="BO9" s="21">
        <v>1.8</v>
      </c>
      <c r="BP9" s="21">
        <v>1.9</v>
      </c>
      <c r="BQ9" s="21">
        <v>2</v>
      </c>
    </row>
    <row r="10" spans="2:69" x14ac:dyDescent="0.3">
      <c r="B10" s="9" t="s">
        <v>80</v>
      </c>
      <c r="C10">
        <v>5.0773999999999999</v>
      </c>
      <c r="F10">
        <v>10</v>
      </c>
      <c r="G10">
        <f t="shared" si="4"/>
        <v>283</v>
      </c>
      <c r="H10">
        <f t="shared" si="0"/>
        <v>41.006950268000928</v>
      </c>
      <c r="J10">
        <v>0.8</v>
      </c>
      <c r="K10">
        <f t="shared" si="5"/>
        <v>5002747547.6371803</v>
      </c>
      <c r="L10">
        <f t="shared" si="1"/>
        <v>0.999970232800655</v>
      </c>
      <c r="N10">
        <v>8</v>
      </c>
      <c r="O10">
        <f t="shared" si="6"/>
        <v>21410362.083632983</v>
      </c>
      <c r="P10">
        <f t="shared" si="2"/>
        <v>0.99306862299724996</v>
      </c>
      <c r="R10">
        <f t="shared" si="7"/>
        <v>21410362.083632983</v>
      </c>
      <c r="S10">
        <f t="shared" si="3"/>
        <v>0.99306862299724996</v>
      </c>
      <c r="W10" s="2"/>
      <c r="Z10" s="26">
        <v>10</v>
      </c>
      <c r="AA10" s="8" cm="1">
        <f t="array" ref="AA10">INDEX($K$3:$K$22, COLUMN(A1))</f>
        <v>168368877374.33322</v>
      </c>
      <c r="AB10" s="8" cm="1">
        <f t="array" ref="AB10">INDEX($K$3:$K$22, COLUMN(B1))</f>
        <v>101885259275.60329</v>
      </c>
      <c r="AC10" s="8" cm="1">
        <f t="array" ref="AC10">INDEX($K$3:$K$22, COLUMN(C1))</f>
        <v>61653948280.3451</v>
      </c>
      <c r="AD10" s="8" cm="1">
        <f t="array" ref="AD10">INDEX($K$3:$K$22, COLUMN(D1))</f>
        <v>37308727146.417336</v>
      </c>
      <c r="AE10" s="8" cm="1">
        <f t="array" ref="AE10">INDEX($K$3:$K$22, COLUMN(E1))</f>
        <v>22576674488.980938</v>
      </c>
      <c r="AF10" s="8" cm="1">
        <f t="array" ref="AF10">INDEX($K$3:$K$22, COLUMN(F1))</f>
        <v>13661849920.021959</v>
      </c>
      <c r="AG10" s="8" cm="1">
        <f t="array" ref="AG10">INDEX($K$3:$K$22, COLUMN(G1))</f>
        <v>8267211511.9656353</v>
      </c>
      <c r="AH10" s="8" cm="1">
        <f t="array" ref="AH10">INDEX($K$3:$K$22, COLUMN(H1))</f>
        <v>5002747547.6371803</v>
      </c>
      <c r="AI10" s="8" cm="1">
        <f t="array" ref="AI10">INDEX($K$3:$K$22, COLUMN(I1))</f>
        <v>3027318581.2611704</v>
      </c>
      <c r="AJ10" s="8" cm="1">
        <f t="array" ref="AJ10">INDEX($K$3:$K$22, COLUMN(J1))</f>
        <v>1831924898.3046651</v>
      </c>
      <c r="AK10" s="8" cm="1">
        <f t="array" ref="AK10">INDEX($K$3:$K$22, COLUMN(K1))</f>
        <v>1108554895.34586</v>
      </c>
      <c r="AL10" s="8" cm="1">
        <f t="array" ref="AL10">INDEX($K$3:$K$22, COLUMN(L1))</f>
        <v>670821143.99588025</v>
      </c>
      <c r="AM10" s="8" cm="1">
        <f t="array" ref="AM10">INDEX($K$3:$K$22, COLUMN(M1))</f>
        <v>405934797.74544173</v>
      </c>
      <c r="AN10" s="8" cm="1">
        <f t="array" ref="AN10">INDEX($K$3:$K$22, COLUMN(N1))</f>
        <v>245643807.58643019</v>
      </c>
      <c r="AO10" s="8" cm="1">
        <f t="array" ref="AO10">INDEX($K$3:$K$22, COLUMN(O1))</f>
        <v>148646729.82136956</v>
      </c>
      <c r="AP10" s="8" cm="1">
        <f t="array" ref="AP10">INDEX($K$3:$K$22, COLUMN(P1))</f>
        <v>89950772.639822453</v>
      </c>
      <c r="AQ10" s="8" cm="1">
        <f t="array" ref="AQ10">INDEX($K$3:$K$22, COLUMN(Q1))</f>
        <v>54432018.169684924</v>
      </c>
      <c r="AR10" s="8" cm="1">
        <f t="array" ref="AR10">INDEX($K$3:$K$22, COLUMN(R1))</f>
        <v>32938511.97797507</v>
      </c>
      <c r="AS10" s="8" cm="1">
        <f t="array" ref="AS10">INDEX($K$3:$K$22, COLUMN(S1))</f>
        <v>19932120.979623251</v>
      </c>
      <c r="AT10" s="8" cm="1">
        <f t="array" ref="AT10">INDEX($K$3:$K$22, COLUMN(T1))</f>
        <v>12061548.105512198</v>
      </c>
      <c r="AW10" s="26">
        <v>10</v>
      </c>
      <c r="AX10" s="8">
        <f t="shared" ref="AX10:AX29" si="8">EXP(-t/AA10)</f>
        <v>0.99999911551388554</v>
      </c>
      <c r="AY10" s="8">
        <f t="shared" ref="AY10:AY29" si="9">EXP(-t/AB10)</f>
        <v>0.99999853835685137</v>
      </c>
      <c r="AZ10" s="8">
        <f t="shared" ref="AZ10:AZ29" si="10">EXP(-t/AC10)</f>
        <v>0.99999758458583266</v>
      </c>
      <c r="BA10" s="8">
        <f t="shared" ref="BA10:BA29" si="11">EXP(-t/AD10)</f>
        <v>0.99999600844858083</v>
      </c>
      <c r="BB10" s="8">
        <f t="shared" ref="BB10:BB29" si="12">EXP(-t/AE10)</f>
        <v>0.99999340383328283</v>
      </c>
      <c r="BC10" s="8">
        <f t="shared" ref="BC10:BC29" si="13">EXP(-t/AF10)</f>
        <v>0.99998909963224392</v>
      </c>
      <c r="BD10" s="8">
        <f t="shared" ref="BD10:BD29" si="14">EXP(-t/AG10)</f>
        <v>0.99998198683334516</v>
      </c>
      <c r="BE10" s="8">
        <f t="shared" ref="BE10:BE29" si="15">EXP(-t/AH10)</f>
        <v>0.999970232800655</v>
      </c>
      <c r="BF10" s="8">
        <f t="shared" ref="BF10:BF29" si="16">EXP(-t/AI10)</f>
        <v>0.99995080916222623</v>
      </c>
      <c r="BG10" s="8">
        <f t="shared" ref="BG10:BG29" si="17">EXP(-t/AJ10)</f>
        <v>0.9999187117619649</v>
      </c>
      <c r="BH10" s="8">
        <f t="shared" ref="BH10:BH29" si="18">EXP(-t/AK10)</f>
        <v>0.99986567196776999</v>
      </c>
      <c r="BI10" s="8">
        <f t="shared" ref="BI10:BI29" si="19">EXP(-t/AL10)</f>
        <v>0.99977802805905791</v>
      </c>
      <c r="BJ10" s="8">
        <f t="shared" ref="BJ10:BJ29" si="20">EXP(-t/AM10)</f>
        <v>0.99963321033821473</v>
      </c>
      <c r="BK10" s="8">
        <f t="shared" ref="BK10:BK29" si="21">EXP(-t/AN10)</f>
        <v>0.99939394007249405</v>
      </c>
      <c r="BL10" s="8">
        <f t="shared" ref="BL10:BL29" si="22">EXP(-t/AO10)</f>
        <v>0.99899866328578035</v>
      </c>
      <c r="BM10" s="8">
        <f t="shared" ref="BM10:BM29" si="23">EXP(-t/AP10)</f>
        <v>0.99834579748758723</v>
      </c>
      <c r="BN10" s="8">
        <f t="shared" ref="BN10:BN29" si="24">EXP(-t/AQ10)</f>
        <v>0.9972678493962982</v>
      </c>
      <c r="BO10" s="8">
        <f t="shared" ref="BO10:BO29" si="25">EXP(-t/AR10)</f>
        <v>0.99548905360591089</v>
      </c>
      <c r="BP10" s="8">
        <f t="shared" ref="BP10:BP29" si="26">EXP(-t/AS10)</f>
        <v>0.99255648378936534</v>
      </c>
      <c r="BQ10" s="8">
        <f t="shared" ref="BQ10:BQ29" si="27">EXP(-t/AT10)</f>
        <v>0.9877292336527812</v>
      </c>
    </row>
    <row r="11" spans="2:69" x14ac:dyDescent="0.3">
      <c r="B11" s="9" t="s">
        <v>82</v>
      </c>
      <c r="C11" s="7">
        <v>317057.54599999997</v>
      </c>
      <c r="F11">
        <v>10</v>
      </c>
      <c r="G11">
        <f t="shared" si="4"/>
        <v>283</v>
      </c>
      <c r="H11">
        <f t="shared" si="0"/>
        <v>41.006950268000928</v>
      </c>
      <c r="J11">
        <v>0.9</v>
      </c>
      <c r="K11">
        <f t="shared" si="5"/>
        <v>3027318581.2611704</v>
      </c>
      <c r="L11">
        <f t="shared" si="1"/>
        <v>0.99995080916222623</v>
      </c>
      <c r="N11">
        <v>9</v>
      </c>
      <c r="O11">
        <f t="shared" si="6"/>
        <v>11773408.000549216</v>
      </c>
      <c r="P11">
        <f t="shared" si="2"/>
        <v>0.98743081649908959</v>
      </c>
      <c r="R11">
        <f t="shared" si="7"/>
        <v>11773408.000549216</v>
      </c>
      <c r="S11">
        <f t="shared" si="3"/>
        <v>0.98743081649908959</v>
      </c>
      <c r="Z11" s="26">
        <v>20</v>
      </c>
      <c r="AA11" s="8" cm="1">
        <f t="array" ref="AA11">INDEX($K$23:$K$42, COLUMN(A1))</f>
        <v>80707481250.458466</v>
      </c>
      <c r="AB11" s="8" cm="1">
        <f t="array" ref="AB11">INDEX($K$23:$K$42, COLUMN(B1))</f>
        <v>48838614243.426575</v>
      </c>
      <c r="AC11" s="8" cm="1">
        <f t="array" ref="AC11">INDEX($K$23:$K$42, COLUMN(C1))</f>
        <v>29553768798.907715</v>
      </c>
      <c r="AD11" s="8" cm="1">
        <f t="array" ref="AD11">INDEX($K$23:$K$42, COLUMN(D1))</f>
        <v>17883907308.792034</v>
      </c>
      <c r="AE11" s="8" cm="1">
        <f t="array" ref="AE11">INDEX($K$23:$K$42, COLUMN(E1))</f>
        <v>10822110127.669603</v>
      </c>
      <c r="AF11" s="8" cm="1">
        <f t="array" ref="AF11">INDEX($K$23:$K$42, COLUMN(F1))</f>
        <v>6548796389.5804672</v>
      </c>
      <c r="AG11" s="8" cm="1">
        <f t="array" ref="AG11">INDEX($K$23:$K$42, COLUMN(G1))</f>
        <v>3962880958.1719961</v>
      </c>
      <c r="AH11" s="8" cm="1">
        <f t="array" ref="AH11">INDEX($K$23:$K$42, COLUMN(H1))</f>
        <v>2398062873.6035948</v>
      </c>
      <c r="AI11" s="8" cm="1">
        <f t="array" ref="AI11">INDEX($K$23:$K$42, COLUMN(I1))</f>
        <v>1451142642.5507936</v>
      </c>
      <c r="AJ11" s="8" cm="1">
        <f t="array" ref="AJ11">INDEX($K$23:$K$42, COLUMN(J1))</f>
        <v>878131675.44888914</v>
      </c>
      <c r="AK11" s="8" cm="1">
        <f t="array" ref="AK11">INDEX($K$23:$K$42, COLUMN(K1))</f>
        <v>531384866.52919197</v>
      </c>
      <c r="AL11" s="8" cm="1">
        <f t="array" ref="AL11">INDEX($K$23:$K$42, COLUMN(L1))</f>
        <v>321557557.10771251</v>
      </c>
      <c r="AM11" s="8" cm="1">
        <f t="array" ref="AM11">INDEX($K$23:$K$42, COLUMN(M1))</f>
        <v>194584507.47467682</v>
      </c>
      <c r="AN11" s="8" cm="1">
        <f t="array" ref="AN11">INDEX($K$23:$K$42, COLUMN(N1))</f>
        <v>117749154.7383524</v>
      </c>
      <c r="AO11" s="8" cm="1">
        <f t="array" ref="AO11">INDEX($K$23:$K$42, COLUMN(O1))</f>
        <v>71253686.233991608</v>
      </c>
      <c r="AP11" s="8" cm="1">
        <f t="array" ref="AP11">INDEX($K$23:$K$42, COLUMN(P1))</f>
        <v>43117828.006611273</v>
      </c>
      <c r="AQ11" s="8" cm="1">
        <f t="array" ref="AQ11">INDEX($K$23:$K$42, COLUMN(Q1))</f>
        <v>26091942.61055373</v>
      </c>
      <c r="AR11" s="8" cm="1">
        <f t="array" ref="AR11">INDEX($K$23:$K$42, COLUMN(R1))</f>
        <v>15789048.304753255</v>
      </c>
      <c r="AS11" s="8" cm="1">
        <f t="array" ref="AS11">INDEX($K$23:$K$42, COLUMN(S1))</f>
        <v>9554445.6037933137</v>
      </c>
      <c r="AT11" s="8" cm="1">
        <f t="array" ref="AT11">INDEX($K$23:$K$42, COLUMN(T1))</f>
        <v>5781693.046588704</v>
      </c>
      <c r="AW11" s="26">
        <v>20</v>
      </c>
      <c r="AX11" s="8">
        <f t="shared" si="8"/>
        <v>0.99999815481959908</v>
      </c>
      <c r="AY11" s="8">
        <f t="shared" si="9"/>
        <v>0.99999695077808282</v>
      </c>
      <c r="AZ11" s="8">
        <f t="shared" si="10"/>
        <v>0.99999496106145336</v>
      </c>
      <c r="BA11" s="8">
        <f t="shared" si="11"/>
        <v>0.99999167299531366</v>
      </c>
      <c r="BB11" s="8">
        <f t="shared" si="12"/>
        <v>0.99998623937719866</v>
      </c>
      <c r="BC11" s="8">
        <f t="shared" si="13"/>
        <v>0.99997726020203881</v>
      </c>
      <c r="BD11" s="8">
        <f t="shared" si="14"/>
        <v>0.99996242198453722</v>
      </c>
      <c r="BE11" s="8">
        <f t="shared" si="15"/>
        <v>0.99993790180492781</v>
      </c>
      <c r="BF11" s="8">
        <f t="shared" si="16"/>
        <v>0.99989738268684436</v>
      </c>
      <c r="BG11" s="8">
        <f t="shared" si="17"/>
        <v>0.99983042705620928</v>
      </c>
      <c r="BH11" s="8">
        <f t="shared" si="18"/>
        <v>0.99971979041181191</v>
      </c>
      <c r="BI11" s="8">
        <f t="shared" si="19"/>
        <v>0.99953698640241706</v>
      </c>
      <c r="BJ11" s="8">
        <f t="shared" si="20"/>
        <v>0.99923496977988757</v>
      </c>
      <c r="BK11" s="8">
        <f t="shared" si="21"/>
        <v>0.99873607696985722</v>
      </c>
      <c r="BL11" s="8">
        <f t="shared" si="22"/>
        <v>0.9979121853894799</v>
      </c>
      <c r="BM11" s="8">
        <f t="shared" si="23"/>
        <v>0.99655216569685556</v>
      </c>
      <c r="BN11" s="8">
        <f t="shared" si="24"/>
        <v>0.99430874778225375</v>
      </c>
      <c r="BO11" s="8">
        <f t="shared" si="25"/>
        <v>0.99061248632151466</v>
      </c>
      <c r="BP11" s="8">
        <f t="shared" si="26"/>
        <v>0.98453437860379489</v>
      </c>
      <c r="BQ11" s="8">
        <f t="shared" si="27"/>
        <v>0.97457172467159336</v>
      </c>
    </row>
    <row r="12" spans="2:69" x14ac:dyDescent="0.3">
      <c r="F12">
        <v>10</v>
      </c>
      <c r="G12">
        <f t="shared" si="4"/>
        <v>283</v>
      </c>
      <c r="H12">
        <f t="shared" si="0"/>
        <v>41.006950268000928</v>
      </c>
      <c r="J12">
        <v>1</v>
      </c>
      <c r="K12">
        <f t="shared" si="5"/>
        <v>1831924898.3046651</v>
      </c>
      <c r="L12">
        <f t="shared" si="1"/>
        <v>0.9999187117619649</v>
      </c>
      <c r="N12">
        <v>10</v>
      </c>
      <c r="O12">
        <f t="shared" si="6"/>
        <v>6895616.6864778921</v>
      </c>
      <c r="P12">
        <f t="shared" si="2"/>
        <v>0.97863520291750405</v>
      </c>
      <c r="R12">
        <f t="shared" si="7"/>
        <v>6895616.6864778921</v>
      </c>
      <c r="S12">
        <f t="shared" si="3"/>
        <v>0.97863520291750405</v>
      </c>
      <c r="Z12" s="26">
        <v>30</v>
      </c>
      <c r="AA12" s="8" cm="1">
        <f t="array" ref="AA12">INDEX($K$43:$K$62, COLUMN(A1))</f>
        <v>40611108972.828896</v>
      </c>
      <c r="AB12" s="8" cm="1">
        <f t="array" ref="AB12">INDEX($K$43:$K$62, COLUMN(B1))</f>
        <v>24575048736.395588</v>
      </c>
      <c r="AC12" s="8" cm="1">
        <f t="array" ref="AC12">INDEX($K$43:$K$62, COLUMN(C1))</f>
        <v>14871128508.218857</v>
      </c>
      <c r="AD12" s="8" cm="1">
        <f t="array" ref="AD12">INDEX($K$43:$K$62, COLUMN(D1))</f>
        <v>8998983704.1680527</v>
      </c>
      <c r="AE12" s="8" cm="1">
        <f t="array" ref="AE12">INDEX($K$43:$K$62, COLUMN(E1))</f>
        <v>5445565725.7702971</v>
      </c>
      <c r="AF12" s="8" cm="1">
        <f t="array" ref="AF12">INDEX($K$43:$K$62, COLUMN(F1))</f>
        <v>3295281672.7459202</v>
      </c>
      <c r="AG12" s="8" cm="1">
        <f t="array" ref="AG12">INDEX($K$43:$K$62, COLUMN(G1))</f>
        <v>1994077722.9714041</v>
      </c>
      <c r="AH12" s="8" cm="1">
        <f t="array" ref="AH12">INDEX($K$43:$K$62, COLUMN(H1))</f>
        <v>1206678627.2438352</v>
      </c>
      <c r="AI12" s="8" cm="1">
        <f t="array" ref="AI12">INDEX($K$43:$K$62, COLUMN(I1))</f>
        <v>730198874.7346071</v>
      </c>
      <c r="AJ12" s="8" cm="1">
        <f t="array" ref="AJ12">INDEX($K$43:$K$62, COLUMN(J1))</f>
        <v>441866114.66015822</v>
      </c>
      <c r="AK12" s="8" cm="1">
        <f t="array" ref="AK12">INDEX($K$43:$K$62, COLUMN(K1))</f>
        <v>267386968.18154716</v>
      </c>
      <c r="AL12" s="8" cm="1">
        <f t="array" ref="AL12">INDEX($K$43:$K$62, COLUMN(L1))</f>
        <v>161804194.4861683</v>
      </c>
      <c r="AM12" s="8" cm="1">
        <f t="array" ref="AM12">INDEX($K$43:$K$62, COLUMN(M1))</f>
        <v>97912764.901623651</v>
      </c>
      <c r="AN12" s="8" cm="1">
        <f t="array" ref="AN12">INDEX($K$43:$K$62, COLUMN(N1))</f>
        <v>59250068.028985314</v>
      </c>
      <c r="AO12" s="8" cm="1">
        <f t="array" ref="AO12">INDEX($K$43:$K$62, COLUMN(O1))</f>
        <v>35854064.227136977</v>
      </c>
      <c r="AP12" s="8" cm="1">
        <f t="array" ref="AP12">INDEX($K$43:$K$62, COLUMN(P1))</f>
        <v>21696412.584282413</v>
      </c>
      <c r="AQ12" s="8" cm="1">
        <f t="array" ref="AQ12">INDEX($K$43:$K$62, COLUMN(Q1))</f>
        <v>13129175.985330056</v>
      </c>
      <c r="AR12" s="8" cm="1">
        <f t="array" ref="AR12">INDEX($K$43:$K$62, COLUMN(R1))</f>
        <v>7944873.8995054597</v>
      </c>
      <c r="AS12" s="8" cm="1">
        <f t="array" ref="AS12">INDEX($K$43:$K$62, COLUMN(S1))</f>
        <v>4807691.0043381145</v>
      </c>
      <c r="AT12" s="8" cm="1">
        <f t="array" ref="AT12">INDEX($K$43:$K$62, COLUMN(T1))</f>
        <v>2909283.7829222572</v>
      </c>
      <c r="AW12" s="26">
        <v>30</v>
      </c>
      <c r="AX12" s="8">
        <f t="shared" si="8"/>
        <v>0.99999633302978608</v>
      </c>
      <c r="AY12" s="8">
        <f t="shared" si="9"/>
        <v>0.99999394021349108</v>
      </c>
      <c r="AZ12" s="8">
        <f t="shared" si="10"/>
        <v>0.99998998601523248</v>
      </c>
      <c r="BA12" s="8">
        <f t="shared" si="11"/>
        <v>0.99998345160156987</v>
      </c>
      <c r="BB12" s="8">
        <f t="shared" si="12"/>
        <v>0.99997265335297403</v>
      </c>
      <c r="BC12" s="8">
        <f t="shared" si="13"/>
        <v>0.99995480913322388</v>
      </c>
      <c r="BD12" s="8">
        <f t="shared" si="14"/>
        <v>0.99992532164736347</v>
      </c>
      <c r="BE12" s="8">
        <f t="shared" si="15"/>
        <v>0.99987659447372856</v>
      </c>
      <c r="BF12" s="8">
        <f t="shared" si="16"/>
        <v>0.99979607635607015</v>
      </c>
      <c r="BG12" s="8">
        <f t="shared" si="17"/>
        <v>0.9996630316220565</v>
      </c>
      <c r="BH12" s="8">
        <f t="shared" si="18"/>
        <v>0.99944320944831511</v>
      </c>
      <c r="BI12" s="8">
        <f t="shared" si="19"/>
        <v>0.99908005172167247</v>
      </c>
      <c r="BJ12" s="8">
        <f t="shared" si="20"/>
        <v>0.99848021033901535</v>
      </c>
      <c r="BK12" s="8">
        <f t="shared" si="21"/>
        <v>0.99748974114672162</v>
      </c>
      <c r="BL12" s="8">
        <f t="shared" si="22"/>
        <v>0.99585510984502723</v>
      </c>
      <c r="BM12" s="8">
        <f t="shared" si="23"/>
        <v>0.99315969459801201</v>
      </c>
      <c r="BN12" s="8">
        <f t="shared" si="24"/>
        <v>0.98872140881762993</v>
      </c>
      <c r="BO12" s="8">
        <f t="shared" si="25"/>
        <v>0.98143041774700701</v>
      </c>
      <c r="BP12" s="8">
        <f t="shared" si="26"/>
        <v>0.96949945310722108</v>
      </c>
      <c r="BQ12" s="8">
        <f t="shared" si="27"/>
        <v>0.95010017153461157</v>
      </c>
    </row>
    <row r="13" spans="2:69" x14ac:dyDescent="0.3">
      <c r="F13">
        <v>10</v>
      </c>
      <c r="G13">
        <f t="shared" si="4"/>
        <v>283</v>
      </c>
      <c r="H13">
        <f t="shared" si="0"/>
        <v>41.006950268000928</v>
      </c>
      <c r="J13">
        <v>1.1000000000000001</v>
      </c>
      <c r="K13">
        <f t="shared" si="5"/>
        <v>1108554895.34586</v>
      </c>
      <c r="L13">
        <f t="shared" si="1"/>
        <v>0.99986567196776999</v>
      </c>
      <c r="N13">
        <v>11</v>
      </c>
      <c r="O13">
        <f t="shared" si="6"/>
        <v>4250165.9956369447</v>
      </c>
      <c r="P13">
        <f t="shared" si="2"/>
        <v>0.96556811422310951</v>
      </c>
      <c r="R13">
        <f t="shared" si="7"/>
        <v>4250165.9956369447</v>
      </c>
      <c r="S13">
        <f t="shared" si="3"/>
        <v>0.96556811422310951</v>
      </c>
      <c r="Z13" s="26">
        <v>40</v>
      </c>
      <c r="AA13" s="8" cm="1">
        <f t="array" ref="AA13">INDEX($K$63:$K$82, COLUMN(A1))</f>
        <v>21351806381.363914</v>
      </c>
      <c r="AB13" s="8" cm="1">
        <f t="array" ref="AB13">INDEX($K$63:$K$82, COLUMN(B1))</f>
        <v>12920644023.367315</v>
      </c>
      <c r="AC13" s="8" cm="1">
        <f t="array" ref="AC13">INDEX($K$63:$K$82, COLUMN(C1))</f>
        <v>7818684705.022768</v>
      </c>
      <c r="AD13" s="8" cm="1">
        <f t="array" ref="AD13">INDEX($K$63:$K$82, COLUMN(D1))</f>
        <v>4731329986.8023987</v>
      </c>
      <c r="AE13" s="8" cm="1">
        <f t="array" ref="AE13">INDEX($K$63:$K$82, COLUMN(E1))</f>
        <v>2863075349.4427285</v>
      </c>
      <c r="AF13" s="8" cm="1">
        <f t="array" ref="AF13">INDEX($K$63:$K$82, COLUMN(F1))</f>
        <v>1732536195.8375185</v>
      </c>
      <c r="AG13" s="8" cm="1">
        <f t="array" ref="AG13">INDEX($K$63:$K$82, COLUMN(G1))</f>
        <v>1048411691.4601606</v>
      </c>
      <c r="AH13" s="8" cm="1">
        <f t="array" ref="AH13">INDEX($K$63:$K$82, COLUMN(H1))</f>
        <v>634426615.40413582</v>
      </c>
      <c r="AI13" s="8" cm="1">
        <f t="array" ref="AI13">INDEX($K$63:$K$82, COLUMN(I1))</f>
        <v>383911333.31656682</v>
      </c>
      <c r="AJ13" s="8" cm="1">
        <f t="array" ref="AJ13">INDEX($K$63:$K$82, COLUMN(J1))</f>
        <v>232316722.32889643</v>
      </c>
      <c r="AK13" s="8" cm="1">
        <f t="array" ref="AK13">INDEX($K$63:$K$82, COLUMN(K1))</f>
        <v>140582094.84828594</v>
      </c>
      <c r="AL13" s="8" cm="1">
        <f t="array" ref="AL13">INDEX($K$63:$K$82, COLUMN(L1))</f>
        <v>85070610.474406853</v>
      </c>
      <c r="AM13" s="8" cm="1">
        <f t="array" ref="AM13">INDEX($K$63:$K$82, COLUMN(M1))</f>
        <v>51478879.826754063</v>
      </c>
      <c r="AN13" s="8" cm="1">
        <f t="array" ref="AN13">INDEX($K$63:$K$82, COLUMN(N1))</f>
        <v>31151475.855632372</v>
      </c>
      <c r="AO13" s="8" cm="1">
        <f t="array" ref="AO13">INDEX($K$63:$K$82, COLUMN(O1))</f>
        <v>18850729.682733119</v>
      </c>
      <c r="AP13" s="8" cm="1">
        <f t="array" ref="AP13">INDEX($K$63:$K$82, COLUMN(P1))</f>
        <v>11407164.502198912</v>
      </c>
      <c r="AQ13" s="8" cm="1">
        <f t="array" ref="AQ13">INDEX($K$63:$K$82, COLUMN(Q1))</f>
        <v>6902831.0399791757</v>
      </c>
      <c r="AR13" s="8" cm="1">
        <f t="array" ref="AR13">INDEX($K$63:$K$82, COLUMN(R1))</f>
        <v>4177118.3677867353</v>
      </c>
      <c r="AS13" s="8" cm="1">
        <f t="array" ref="AS13">INDEX($K$63:$K$82, COLUMN(S1))</f>
        <v>2527704.6124185612</v>
      </c>
      <c r="AT13" s="8" cm="1">
        <f t="array" ref="AT13">INDEX($K$63:$K$82, COLUMN(T1))</f>
        <v>1529592.9023499142</v>
      </c>
      <c r="AW13" s="26">
        <v>40</v>
      </c>
      <c r="AX13" s="8">
        <f t="shared" si="8"/>
        <v>0.99999302543878421</v>
      </c>
      <c r="AY13" s="8">
        <f t="shared" si="9"/>
        <v>0.99998847432515536</v>
      </c>
      <c r="AZ13" s="8">
        <f t="shared" si="10"/>
        <v>0.99998095349954486</v>
      </c>
      <c r="BA13" s="8">
        <f t="shared" si="11"/>
        <v>0.99996852520183765</v>
      </c>
      <c r="BB13" s="8">
        <f t="shared" si="12"/>
        <v>0.99994798735313284</v>
      </c>
      <c r="BC13" s="8">
        <f t="shared" si="13"/>
        <v>0.99991404877985335</v>
      </c>
      <c r="BD13" s="8">
        <f t="shared" si="14"/>
        <v>0.99985796665073523</v>
      </c>
      <c r="BE13" s="8">
        <f t="shared" si="15"/>
        <v>0.99976529590714802</v>
      </c>
      <c r="BF13" s="8">
        <f t="shared" si="16"/>
        <v>0.99961217315659834</v>
      </c>
      <c r="BG13" s="8">
        <f t="shared" si="17"/>
        <v>0.99935918396984835</v>
      </c>
      <c r="BH13" s="8">
        <f t="shared" si="18"/>
        <v>0.9989412510050294</v>
      </c>
      <c r="BI13" s="8">
        <f t="shared" si="19"/>
        <v>0.9982509855100925</v>
      </c>
      <c r="BJ13" s="8">
        <f t="shared" si="20"/>
        <v>0.99711134338148821</v>
      </c>
      <c r="BK13" s="8">
        <f t="shared" si="21"/>
        <v>0.99523089659326602</v>
      </c>
      <c r="BL13" s="8">
        <f t="shared" si="22"/>
        <v>0.99213116322486616</v>
      </c>
      <c r="BM13" s="8">
        <f t="shared" si="23"/>
        <v>0.98702989296812049</v>
      </c>
      <c r="BN13" s="8">
        <f t="shared" si="24"/>
        <v>0.97865729190585871</v>
      </c>
      <c r="BO13" s="8">
        <f t="shared" si="25"/>
        <v>0.96497665291704782</v>
      </c>
      <c r="BP13" s="8">
        <f t="shared" si="26"/>
        <v>0.94278679717411562</v>
      </c>
      <c r="BQ13" s="8">
        <f t="shared" si="27"/>
        <v>0.90723003574042971</v>
      </c>
    </row>
    <row r="14" spans="2:69" x14ac:dyDescent="0.3">
      <c r="F14">
        <v>10</v>
      </c>
      <c r="G14">
        <f t="shared" si="4"/>
        <v>283</v>
      </c>
      <c r="H14">
        <f t="shared" si="0"/>
        <v>41.006950268000928</v>
      </c>
      <c r="J14">
        <v>1.2</v>
      </c>
      <c r="K14">
        <f t="shared" si="5"/>
        <v>670821143.99588025</v>
      </c>
      <c r="L14">
        <f t="shared" si="1"/>
        <v>0.99977802805905791</v>
      </c>
      <c r="N14">
        <v>12</v>
      </c>
      <c r="O14">
        <f t="shared" si="6"/>
        <v>2732362.1034262958</v>
      </c>
      <c r="P14">
        <f t="shared" si="2"/>
        <v>0.94695633746471175</v>
      </c>
      <c r="R14">
        <f t="shared" si="7"/>
        <v>2732362.1034262958</v>
      </c>
      <c r="S14">
        <f t="shared" si="3"/>
        <v>0.94695633746471175</v>
      </c>
      <c r="W14" s="2"/>
      <c r="Z14" s="26">
        <v>50</v>
      </c>
      <c r="AA14" s="8" cm="1">
        <f t="array" ref="AA14">INDEX($K$83:$K$102, COLUMN(A1))</f>
        <v>11681885767.518145</v>
      </c>
      <c r="AB14" s="8" cm="1">
        <f t="array" ref="AB14">INDEX($K$83:$K$102, COLUMN(B1))</f>
        <v>7069073446.4266634</v>
      </c>
      <c r="AC14" s="8" cm="1">
        <f t="array" ref="AC14">INDEX($K$83:$K$102, COLUMN(C1))</f>
        <v>4277716833.1779733</v>
      </c>
      <c r="AD14" s="8" cm="1">
        <f t="array" ref="AD14">INDEX($K$83:$K$102, COLUMN(D1))</f>
        <v>2588579881.5832157</v>
      </c>
      <c r="AE14" s="8" cm="1">
        <f t="array" ref="AE14">INDEX($K$83:$K$102, COLUMN(E1))</f>
        <v>1566430426.4757283</v>
      </c>
      <c r="AF14" s="8" cm="1">
        <f t="array" ref="AF14">INDEX($K$83:$K$102, COLUMN(F1))</f>
        <v>947895909.43131661</v>
      </c>
      <c r="AG14" s="8" cm="1">
        <f t="array" ref="AG14">INDEX($K$83:$K$102, COLUMN(G1))</f>
        <v>573601380.52102983</v>
      </c>
      <c r="AH14" s="8" cm="1">
        <f t="array" ref="AH14">INDEX($K$83:$K$102, COLUMN(H1))</f>
        <v>347104086.49513346</v>
      </c>
      <c r="AI14" s="8" cm="1">
        <f t="array" ref="AI14">INDEX($K$83:$K$102, COLUMN(I1))</f>
        <v>210043509.22618452</v>
      </c>
      <c r="AJ14" s="8" cm="1">
        <f t="array" ref="AJ14">INDEX($K$83:$K$102, COLUMN(J1))</f>
        <v>127103878.87832849</v>
      </c>
      <c r="AK14" s="8" cm="1">
        <f t="array" ref="AK14">INDEX($K$83:$K$102, COLUMN(K1))</f>
        <v>76914521.593332887</v>
      </c>
      <c r="AL14" s="8" cm="1">
        <f t="array" ref="AL14">INDEX($K$83:$K$102, COLUMN(L1))</f>
        <v>46543376.049084067</v>
      </c>
      <c r="AM14" s="8" cm="1">
        <f t="array" ref="AM14">INDEX($K$83:$K$102, COLUMN(M1))</f>
        <v>28164848.576971821</v>
      </c>
      <c r="AN14" s="8" cm="1">
        <f t="array" ref="AN14">INDEX($K$83:$K$102, COLUMN(N1))</f>
        <v>17043428.360830385</v>
      </c>
      <c r="AO14" s="8" cm="1">
        <f t="array" ref="AO14">INDEX($K$83:$K$102, COLUMN(O1))</f>
        <v>10313510.100965289</v>
      </c>
      <c r="AP14" s="8" cm="1">
        <f t="array" ref="AP14">INDEX($K$83:$K$102, COLUMN(P1))</f>
        <v>6241026.6497303946</v>
      </c>
      <c r="AQ14" s="8" cm="1">
        <f t="array" ref="AQ14">INDEX($K$83:$K$102, COLUMN(Q1))</f>
        <v>3776639.8889743118</v>
      </c>
      <c r="AR14" s="8" cm="1">
        <f t="array" ref="AR14">INDEX($K$83:$K$102, COLUMN(R1))</f>
        <v>2285362.593605977</v>
      </c>
      <c r="AS14" s="8" cm="1">
        <f t="array" ref="AS14">INDEX($K$83:$K$102, COLUMN(S1))</f>
        <v>1382944.1879013586</v>
      </c>
      <c r="AT14" s="8" cm="1">
        <f t="array" ref="AT14">INDEX($K$83:$K$102, COLUMN(T1))</f>
        <v>836862.66336950671</v>
      </c>
      <c r="AW14" s="26">
        <v>50</v>
      </c>
      <c r="AX14" s="8">
        <f t="shared" si="8"/>
        <v>0.99998725213944428</v>
      </c>
      <c r="AY14" s="8">
        <f t="shared" si="9"/>
        <v>0.99997893381183056</v>
      </c>
      <c r="AZ14" s="8">
        <f t="shared" si="10"/>
        <v>0.99996518764245879</v>
      </c>
      <c r="BA14" s="8">
        <f t="shared" si="11"/>
        <v>0.99994247204133568</v>
      </c>
      <c r="BB14" s="8">
        <f t="shared" si="12"/>
        <v>0.99990493486412102</v>
      </c>
      <c r="BC14" s="8">
        <f t="shared" si="13"/>
        <v>0.99984290648263296</v>
      </c>
      <c r="BD14" s="8">
        <f t="shared" si="14"/>
        <v>0.99974041089297339</v>
      </c>
      <c r="BE14" s="8">
        <f t="shared" si="15"/>
        <v>0.99957105645144395</v>
      </c>
      <c r="BF14" s="8">
        <f t="shared" si="16"/>
        <v>0.99929125531570451</v>
      </c>
      <c r="BG14" s="8">
        <f t="shared" si="17"/>
        <v>0.99882904601296341</v>
      </c>
      <c r="BH14" s="8">
        <f t="shared" si="18"/>
        <v>0.99806569783830457</v>
      </c>
      <c r="BI14" s="8">
        <f t="shared" si="19"/>
        <v>0.99680551724880706</v>
      </c>
      <c r="BJ14" s="8">
        <f t="shared" si="20"/>
        <v>0.99472651203328932</v>
      </c>
      <c r="BK14" s="8">
        <f t="shared" si="21"/>
        <v>0.99130038393037767</v>
      </c>
      <c r="BL14" s="8">
        <f t="shared" si="22"/>
        <v>0.98566443398040282</v>
      </c>
      <c r="BM14" s="8">
        <f t="shared" si="23"/>
        <v>0.97642097496395774</v>
      </c>
      <c r="BN14" s="8">
        <f t="shared" si="24"/>
        <v>0.96133544070612886</v>
      </c>
      <c r="BO14" s="8">
        <f t="shared" si="25"/>
        <v>0.93691517769074295</v>
      </c>
      <c r="BP14" s="8">
        <f t="shared" si="26"/>
        <v>0.89791191612981891</v>
      </c>
      <c r="BQ14" s="8">
        <f t="shared" si="27"/>
        <v>0.83698398256078799</v>
      </c>
    </row>
    <row r="15" spans="2:69" x14ac:dyDescent="0.3">
      <c r="F15">
        <v>10</v>
      </c>
      <c r="G15">
        <f t="shared" si="4"/>
        <v>283</v>
      </c>
      <c r="H15">
        <f t="shared" si="0"/>
        <v>41.006950268000928</v>
      </c>
      <c r="J15">
        <v>1.3</v>
      </c>
      <c r="K15">
        <f t="shared" si="5"/>
        <v>405934797.74544173</v>
      </c>
      <c r="L15">
        <f t="shared" si="1"/>
        <v>0.99963321033821473</v>
      </c>
      <c r="N15">
        <v>13</v>
      </c>
      <c r="O15">
        <f t="shared" si="6"/>
        <v>1819856.4611923283</v>
      </c>
      <c r="P15">
        <f t="shared" si="2"/>
        <v>0.92142800811170911</v>
      </c>
      <c r="R15">
        <f t="shared" si="7"/>
        <v>1819856.4611923283</v>
      </c>
      <c r="S15">
        <f t="shared" si="3"/>
        <v>0.92142800811170911</v>
      </c>
      <c r="Z15" s="26">
        <v>60</v>
      </c>
      <c r="AA15" s="8" cm="1">
        <f t="array" ref="AA15">INDEX($K$103:$K$122, COLUMN(A1))</f>
        <v>6627081609.1303902</v>
      </c>
      <c r="AB15" s="8" cm="1">
        <f t="array" ref="AB15">INDEX($K$103:$K$122, COLUMN(B1))</f>
        <v>4010253786.30791</v>
      </c>
      <c r="AC15" s="8" cm="1">
        <f t="array" ref="AC15">INDEX($K$103:$K$122, COLUMN(C1))</f>
        <v>2426729649.5096641</v>
      </c>
      <c r="AD15" s="8" cm="1">
        <f t="array" ref="AD15">INDEX($K$103:$K$122, COLUMN(D1))</f>
        <v>1468489802.7940254</v>
      </c>
      <c r="AE15" s="8" cm="1">
        <f t="array" ref="AE15">INDEX($K$103:$K$122, COLUMN(E1))</f>
        <v>888628983.18556499</v>
      </c>
      <c r="AF15" s="8" cm="1">
        <f t="array" ref="AF15">INDEX($K$103:$K$122, COLUMN(F1))</f>
        <v>537737114.86110437</v>
      </c>
      <c r="AG15" s="8" cm="1">
        <f t="array" ref="AG15">INDEX($K$103:$K$122, COLUMN(G1))</f>
        <v>325401500.70567918</v>
      </c>
      <c r="AH15" s="8" cm="1">
        <f t="array" ref="AH15">INDEX($K$103:$K$122, COLUMN(H1))</f>
        <v>196910597.64185718</v>
      </c>
      <c r="AI15" s="8" cm="1">
        <f t="array" ref="AI15">INDEX($K$103:$K$122, COLUMN(I1))</f>
        <v>119156744.45135297</v>
      </c>
      <c r="AJ15" s="8" cm="1">
        <f t="array" ref="AJ15">INDEX($K$103:$K$122, COLUMN(J1))</f>
        <v>72105462.673314825</v>
      </c>
      <c r="AK15" s="8" cm="1">
        <f t="array" ref="AK15">INDEX($K$103:$K$122, COLUMN(K1))</f>
        <v>43633264.497717313</v>
      </c>
      <c r="AL15" s="8" cm="1">
        <f t="array" ref="AL15">INDEX($K$103:$K$122, COLUMN(L1))</f>
        <v>26403849.308248751</v>
      </c>
      <c r="AM15" s="8" cm="1">
        <f t="array" ref="AM15">INDEX($K$103:$K$122, COLUMN(M1))</f>
        <v>15977792.776178358</v>
      </c>
      <c r="AN15" s="8" cm="1">
        <f t="array" ref="AN15">INDEX($K$103:$K$122, COLUMN(N1))</f>
        <v>9668660.7705620956</v>
      </c>
      <c r="AO15" s="8" cm="1">
        <f t="array" ref="AO15">INDEX($K$103:$K$122, COLUMN(O1))</f>
        <v>5850808.2064740518</v>
      </c>
      <c r="AP15" s="8" cm="1">
        <f t="array" ref="AP15">INDEX($K$103:$K$122, COLUMN(P1))</f>
        <v>3540506.537696437</v>
      </c>
      <c r="AQ15" s="8" cm="1">
        <f t="array" ref="AQ15">INDEX($K$103:$K$122, COLUMN(Q1))</f>
        <v>2142470.9375365861</v>
      </c>
      <c r="AR15" s="8" cm="1">
        <f t="array" ref="AR15">INDEX($K$103:$K$122, COLUMN(R1))</f>
        <v>1296475.9898947692</v>
      </c>
      <c r="AS15" s="8" cm="1">
        <f t="array" ref="AS15">INDEX($K$103:$K$122, COLUMN(S1))</f>
        <v>784538.05973502214</v>
      </c>
      <c r="AT15" s="8" cm="1">
        <f t="array" ref="AT15">INDEX($K$103:$K$122, COLUMN(T1))</f>
        <v>474748.45039185754</v>
      </c>
      <c r="AW15" s="26">
        <v>60</v>
      </c>
      <c r="AX15" s="8">
        <f t="shared" si="8"/>
        <v>0.99997752882255375</v>
      </c>
      <c r="AY15" s="8">
        <f t="shared" si="9"/>
        <v>0.9999628658825821</v>
      </c>
      <c r="AZ15" s="8">
        <f t="shared" si="10"/>
        <v>0.99993863534375527</v>
      </c>
      <c r="BA15" s="8">
        <f t="shared" si="11"/>
        <v>0.99989859483602772</v>
      </c>
      <c r="BB15" s="8">
        <f t="shared" si="12"/>
        <v>0.99983243004087197</v>
      </c>
      <c r="BC15" s="8">
        <f t="shared" si="13"/>
        <v>0.99972310004840115</v>
      </c>
      <c r="BD15" s="8">
        <f t="shared" si="14"/>
        <v>0.99954245469595193</v>
      </c>
      <c r="BE15" s="8">
        <f t="shared" si="15"/>
        <v>0.9992440036077489</v>
      </c>
      <c r="BF15" s="8">
        <f t="shared" si="16"/>
        <v>0.99875099827001246</v>
      </c>
      <c r="BG15" s="8">
        <f t="shared" si="17"/>
        <v>0.99793682312748089</v>
      </c>
      <c r="BH15" s="8">
        <f t="shared" si="18"/>
        <v>0.9965928252408538</v>
      </c>
      <c r="BI15" s="8">
        <f t="shared" si="19"/>
        <v>0.99437578870280374</v>
      </c>
      <c r="BJ15" s="8">
        <f t="shared" si="20"/>
        <v>0.99072286432171863</v>
      </c>
      <c r="BK15" s="8">
        <f t="shared" si="21"/>
        <v>0.98471566944257716</v>
      </c>
      <c r="BL15" s="8">
        <f t="shared" si="22"/>
        <v>0.9748683002125309</v>
      </c>
      <c r="BM15" s="8">
        <f t="shared" si="23"/>
        <v>0.95881054534386978</v>
      </c>
      <c r="BN15" s="8">
        <f t="shared" si="24"/>
        <v>0.93285217848839408</v>
      </c>
      <c r="BO15" s="8">
        <f t="shared" si="25"/>
        <v>0.89148629019740533</v>
      </c>
      <c r="BP15" s="8">
        <f t="shared" si="26"/>
        <v>0.82710906953248819</v>
      </c>
      <c r="BQ15" s="8">
        <f t="shared" si="27"/>
        <v>0.73075143697812628</v>
      </c>
    </row>
    <row r="16" spans="2:69" x14ac:dyDescent="0.3">
      <c r="F16">
        <v>10</v>
      </c>
      <c r="G16">
        <f t="shared" si="4"/>
        <v>283</v>
      </c>
      <c r="H16">
        <f t="shared" si="0"/>
        <v>41.006950268000928</v>
      </c>
      <c r="J16">
        <v>1.4</v>
      </c>
      <c r="K16">
        <f t="shared" si="5"/>
        <v>245643807.58643019</v>
      </c>
      <c r="L16">
        <f t="shared" si="1"/>
        <v>0.99939394007249405</v>
      </c>
      <c r="N16">
        <v>14</v>
      </c>
      <c r="O16">
        <f t="shared" si="6"/>
        <v>1249173.1003436982</v>
      </c>
      <c r="P16">
        <f t="shared" si="2"/>
        <v>0.8876170642210538</v>
      </c>
      <c r="R16">
        <f t="shared" si="7"/>
        <v>1249173.1003436982</v>
      </c>
      <c r="S16">
        <f t="shared" si="3"/>
        <v>0.8876170642210538</v>
      </c>
      <c r="Z16" s="26">
        <v>70</v>
      </c>
      <c r="AA16" s="8" cm="1">
        <f t="array" ref="AA16">INDEX($K$123:$K$142, COLUMN(A1))</f>
        <v>3885857062.8530273</v>
      </c>
      <c r="AB16" s="8" cm="1">
        <f t="array" ref="AB16">INDEX($K$123:$K$142, COLUMN(B1))</f>
        <v>2351453312.101665</v>
      </c>
      <c r="AC16" s="8" cm="1">
        <f t="array" ref="AC16">INDEX($K$123:$K$142, COLUMN(C1))</f>
        <v>1422937743.0919218</v>
      </c>
      <c r="AD16" s="8" cm="1">
        <f t="array" ref="AD16">INDEX($K$123:$K$142, COLUMN(D1))</f>
        <v>861064011.05019772</v>
      </c>
      <c r="AE16" s="8" cm="1">
        <f t="array" ref="AE16">INDEX($K$123:$K$142, COLUMN(E1))</f>
        <v>521056690.44577342</v>
      </c>
      <c r="AF16" s="8" cm="1">
        <f t="array" ref="AF16">INDEX($K$123:$K$142, COLUMN(F1))</f>
        <v>315307655.61455435</v>
      </c>
      <c r="AG16" s="8" cm="1">
        <f t="array" ref="AG16">INDEX($K$123:$K$142, COLUMN(G1))</f>
        <v>190802497.14113021</v>
      </c>
      <c r="AH16" s="8" cm="1">
        <f t="array" ref="AH16">INDEX($K$123:$K$142, COLUMN(H1))</f>
        <v>115460542.32122651</v>
      </c>
      <c r="AI16" s="8" cm="1">
        <f t="array" ref="AI16">INDEX($K$123:$K$142, COLUMN(I1))</f>
        <v>69868775.47651352</v>
      </c>
      <c r="AJ16" s="8" cm="1">
        <f t="array" ref="AJ16">INDEX($K$123:$K$142, COLUMN(J1))</f>
        <v>42279775.310651809</v>
      </c>
      <c r="AK16" s="8" cm="1">
        <f t="array" ref="AK16">INDEX($K$123:$K$142, COLUMN(K1))</f>
        <v>25584810.784612905</v>
      </c>
      <c r="AL16" s="8" cm="1">
        <f t="array" ref="AL16">INDEX($K$123:$K$142, COLUMN(L1))</f>
        <v>15482167.018979697</v>
      </c>
      <c r="AM16" s="8" cm="1">
        <f t="array" ref="AM16">INDEX($K$123:$K$142, COLUMN(M1))</f>
        <v>9368742.1658689827</v>
      </c>
      <c r="AN16" s="8" cm="1">
        <f t="array" ref="AN16">INDEX($K$123:$K$142, COLUMN(N1))</f>
        <v>5669318.1040438106</v>
      </c>
      <c r="AO16" s="8" cm="1">
        <f t="array" ref="AO16">INDEX($K$123:$K$142, COLUMN(O1))</f>
        <v>3430681.215876712</v>
      </c>
      <c r="AP16" s="8" cm="1">
        <f t="array" ref="AP16">INDEX($K$123:$K$142, COLUMN(P1))</f>
        <v>2076012.2097531159</v>
      </c>
      <c r="AQ16" s="8" cm="1">
        <f t="array" ref="AQ16">INDEX($K$123:$K$142, COLUMN(Q1))</f>
        <v>1256259.7408056282</v>
      </c>
      <c r="AR16" s="8" cm="1">
        <f t="array" ref="AR16">INDEX($K$123:$K$142, COLUMN(R1))</f>
        <v>760201.95303027774</v>
      </c>
      <c r="AS16" s="8" cm="1">
        <f t="array" ref="AS16">INDEX($K$123:$K$142, COLUMN(S1))</f>
        <v>460021.91315980878</v>
      </c>
      <c r="AT16" s="8" cm="1">
        <f t="array" ref="AT16">INDEX($K$123:$K$142, COLUMN(T1))</f>
        <v>278373.60814933531</v>
      </c>
      <c r="AW16" s="26">
        <v>70</v>
      </c>
      <c r="AX16" s="8">
        <f t="shared" si="8"/>
        <v>0.99996167714250594</v>
      </c>
      <c r="AY16" s="8">
        <f t="shared" si="9"/>
        <v>0.99993667095846495</v>
      </c>
      <c r="AZ16" s="8">
        <f t="shared" si="10"/>
        <v>0.99989534875418462</v>
      </c>
      <c r="BA16" s="8">
        <f t="shared" si="11"/>
        <v>0.9998270661401909</v>
      </c>
      <c r="BB16" s="8">
        <f t="shared" si="12"/>
        <v>0.99971423700375794</v>
      </c>
      <c r="BC16" s="8">
        <f t="shared" si="13"/>
        <v>0.99952781090030363</v>
      </c>
      <c r="BD16" s="8">
        <f t="shared" si="14"/>
        <v>0.9992198115756159</v>
      </c>
      <c r="BE16" s="8">
        <f t="shared" si="15"/>
        <v>0.99871104014907564</v>
      </c>
      <c r="BF16" s="8">
        <f t="shared" si="16"/>
        <v>0.99787084565552009</v>
      </c>
      <c r="BG16" s="8">
        <f t="shared" si="17"/>
        <v>0.99648394439854804</v>
      </c>
      <c r="BH16" s="8">
        <f t="shared" si="18"/>
        <v>0.99419626605828104</v>
      </c>
      <c r="BI16" s="8">
        <f t="shared" si="19"/>
        <v>0.99042730425220094</v>
      </c>
      <c r="BJ16" s="8">
        <f t="shared" si="20"/>
        <v>0.98423025509511242</v>
      </c>
      <c r="BK16" s="8">
        <f t="shared" si="21"/>
        <v>0.97407428593574008</v>
      </c>
      <c r="BL16" s="8">
        <f t="shared" si="22"/>
        <v>0.95752036568496934</v>
      </c>
      <c r="BM16" s="8">
        <f t="shared" si="23"/>
        <v>0.93077874579799713</v>
      </c>
      <c r="BN16" s="8">
        <f t="shared" si="24"/>
        <v>0.88821418618143544</v>
      </c>
      <c r="BO16" s="8">
        <f t="shared" si="25"/>
        <v>0.8220982926715017</v>
      </c>
      <c r="BP16" s="8">
        <f t="shared" si="26"/>
        <v>0.72345009744075262</v>
      </c>
      <c r="BQ16" s="8">
        <f t="shared" si="27"/>
        <v>0.58569007776937576</v>
      </c>
    </row>
    <row r="17" spans="2:69" x14ac:dyDescent="0.3">
      <c r="B17" s="18" t="s">
        <v>40</v>
      </c>
      <c r="F17">
        <v>10</v>
      </c>
      <c r="G17">
        <f t="shared" si="4"/>
        <v>283</v>
      </c>
      <c r="H17">
        <f t="shared" si="0"/>
        <v>41.006950268000928</v>
      </c>
      <c r="J17">
        <v>1.5</v>
      </c>
      <c r="K17">
        <f t="shared" si="5"/>
        <v>148646729.82136956</v>
      </c>
      <c r="L17">
        <f t="shared" si="1"/>
        <v>0.99899866328578035</v>
      </c>
      <c r="N17">
        <v>15</v>
      </c>
      <c r="O17">
        <f t="shared" si="6"/>
        <v>880009.48514034681</v>
      </c>
      <c r="P17">
        <f t="shared" si="2"/>
        <v>0.84431853139580626</v>
      </c>
      <c r="R17">
        <f t="shared" si="7"/>
        <v>880009.48514034681</v>
      </c>
      <c r="S17">
        <f t="shared" si="3"/>
        <v>0.84431853139580626</v>
      </c>
      <c r="Z17" s="26">
        <v>80</v>
      </c>
      <c r="AA17" s="8" cm="1">
        <f t="array" ref="AA17">INDEX($K$143:$K$162, COLUMN(A1))</f>
        <v>2348477912.0299835</v>
      </c>
      <c r="AB17" s="8" cm="1">
        <f t="array" ref="AB17">INDEX($K$143:$K$162, COLUMN(B1))</f>
        <v>1421137235.7031486</v>
      </c>
      <c r="AC17" s="8" cm="1">
        <f t="array" ref="AC17">INDEX($K$143:$K$162, COLUMN(C1))</f>
        <v>859974467.86980975</v>
      </c>
      <c r="AD17" s="8" cm="1">
        <f t="array" ref="AD17">INDEX($K$143:$K$162, COLUMN(D1))</f>
        <v>520397373.8834911</v>
      </c>
      <c r="AE17" s="8" cm="1">
        <f t="array" ref="AE17">INDEX($K$143:$K$162, COLUMN(E1))</f>
        <v>314908682.59804195</v>
      </c>
      <c r="AF17" s="8" cm="1">
        <f t="array" ref="AF17">INDEX($K$143:$K$162, COLUMN(F1))</f>
        <v>190561066.12451202</v>
      </c>
      <c r="AG17" s="8" cm="1">
        <f t="array" ref="AG17">INDEX($K$143:$K$162, COLUMN(G1))</f>
        <v>115314444.88262087</v>
      </c>
      <c r="AH17" s="8" cm="1">
        <f t="array" ref="AH17">INDEX($K$143:$K$162, COLUMN(H1))</f>
        <v>69780367.359503016</v>
      </c>
      <c r="AI17" s="8" cm="1">
        <f t="array" ref="AI17">INDEX($K$143:$K$162, COLUMN(I1))</f>
        <v>42226276.801520199</v>
      </c>
      <c r="AJ17" s="8" cm="1">
        <f t="array" ref="AJ17">INDEX($K$143:$K$162, COLUMN(J1))</f>
        <v>25552437.168070875</v>
      </c>
      <c r="AK17" s="8" cm="1">
        <f t="array" ref="AK17">INDEX($K$143:$K$162, COLUMN(K1))</f>
        <v>15462576.733847944</v>
      </c>
      <c r="AL17" s="8" cm="1">
        <f t="array" ref="AL17">INDEX($K$143:$K$162, COLUMN(L1))</f>
        <v>9356887.4732971936</v>
      </c>
      <c r="AM17" s="8" cm="1">
        <f t="array" ref="AM17">INDEX($K$143:$K$162, COLUMN(M1))</f>
        <v>5662144.4598101098</v>
      </c>
      <c r="AN17" s="8" cm="1">
        <f t="array" ref="AN17">INDEX($K$143:$K$162, COLUMN(N1))</f>
        <v>3426340.2199985073</v>
      </c>
      <c r="AO17" s="8" cm="1">
        <f t="array" ref="AO17">INDEX($K$143:$K$162, COLUMN(O1))</f>
        <v>2073385.337747653</v>
      </c>
      <c r="AP17" s="8" cm="1">
        <f t="array" ref="AP17">INDEX($K$143:$K$162, COLUMN(P1))</f>
        <v>1254670.1386206271</v>
      </c>
      <c r="AQ17" s="8" cm="1">
        <f t="array" ref="AQ17">INDEX($K$143:$K$162, COLUMN(Q1))</f>
        <v>759240.03516701609</v>
      </c>
      <c r="AR17" s="8" cm="1">
        <f t="array" ref="AR17">INDEX($K$143:$K$162, COLUMN(R1))</f>
        <v>459439.82665766613</v>
      </c>
      <c r="AS17" s="8" cm="1">
        <f t="array" ref="AS17">INDEX($K$143:$K$162, COLUMN(S1))</f>
        <v>278021.3694510893</v>
      </c>
      <c r="AT17" s="8" cm="1">
        <f t="array" ref="AT17">INDEX($K$143:$K$162, COLUMN(T1))</f>
        <v>168239.40239088779</v>
      </c>
      <c r="AW17" s="26">
        <v>80</v>
      </c>
      <c r="AX17" s="8">
        <f t="shared" si="8"/>
        <v>0.99993659072638807</v>
      </c>
      <c r="AY17" s="8">
        <f t="shared" si="9"/>
        <v>0.99989521617341459</v>
      </c>
      <c r="AZ17" s="8">
        <f t="shared" si="10"/>
        <v>0.99982684706090297</v>
      </c>
      <c r="BA17" s="8">
        <f t="shared" si="11"/>
        <v>0.99971387500861919</v>
      </c>
      <c r="BB17" s="8">
        <f t="shared" si="12"/>
        <v>0.99952721280257395</v>
      </c>
      <c r="BC17" s="8">
        <f t="shared" si="13"/>
        <v>0.99921882350340752</v>
      </c>
      <c r="BD17" s="8">
        <f t="shared" si="14"/>
        <v>0.99870940815784925</v>
      </c>
      <c r="BE17" s="8">
        <f t="shared" si="15"/>
        <v>0.9978681510044729</v>
      </c>
      <c r="BF17" s="8">
        <f t="shared" si="16"/>
        <v>0.99647949758845478</v>
      </c>
      <c r="BG17" s="8">
        <f t="shared" si="17"/>
        <v>0.99418893443344536</v>
      </c>
      <c r="BH17" s="8">
        <f t="shared" si="18"/>
        <v>0.99041523445072688</v>
      </c>
      <c r="BI17" s="8">
        <f t="shared" si="19"/>
        <v>0.98421043421349075</v>
      </c>
      <c r="BJ17" s="8">
        <f t="shared" si="20"/>
        <v>0.97404186944912008</v>
      </c>
      <c r="BK17" s="8">
        <f t="shared" si="21"/>
        <v>0.95746770728852693</v>
      </c>
      <c r="BL17" s="8">
        <f t="shared" si="22"/>
        <v>0.93069415780196896</v>
      </c>
      <c r="BM17" s="8">
        <f t="shared" si="23"/>
        <v>0.88808079793367367</v>
      </c>
      <c r="BN17" s="8">
        <f t="shared" si="24"/>
        <v>0.82189428204499648</v>
      </c>
      <c r="BO17" s="8">
        <f t="shared" si="25"/>
        <v>0.72315344158973005</v>
      </c>
      <c r="BP17" s="8">
        <f t="shared" si="26"/>
        <v>0.58529324771477453</v>
      </c>
      <c r="BQ17" s="8">
        <f t="shared" si="27"/>
        <v>0.4126451750627077</v>
      </c>
    </row>
    <row r="18" spans="2:69" x14ac:dyDescent="0.3">
      <c r="B18" s="17">
        <f>0.00008617</f>
        <v>8.6169999999999997E-5</v>
      </c>
      <c r="F18">
        <v>10</v>
      </c>
      <c r="G18">
        <f t="shared" si="4"/>
        <v>283</v>
      </c>
      <c r="H18">
        <f t="shared" si="0"/>
        <v>41.006950268000928</v>
      </c>
      <c r="J18">
        <v>1.6</v>
      </c>
      <c r="K18">
        <f t="shared" si="5"/>
        <v>89950772.639822453</v>
      </c>
      <c r="L18">
        <f t="shared" si="1"/>
        <v>0.99834579748758723</v>
      </c>
      <c r="N18">
        <v>16</v>
      </c>
      <c r="O18">
        <f t="shared" si="6"/>
        <v>634124.17745922983</v>
      </c>
      <c r="P18">
        <f t="shared" si="2"/>
        <v>0.79069451041666261</v>
      </c>
      <c r="R18">
        <f t="shared" si="7"/>
        <v>634124.17745922983</v>
      </c>
      <c r="S18">
        <f t="shared" si="3"/>
        <v>0.79069451041666261</v>
      </c>
      <c r="Z18" s="26">
        <v>90</v>
      </c>
      <c r="AA18" s="8" cm="1">
        <f t="array" ref="AA18">INDEX($K$163:$K$182, COLUMN(A1))</f>
        <v>1459270301.2822068</v>
      </c>
      <c r="AB18" s="8" cm="1">
        <f t="array" ref="AB18">INDEX($K$163:$K$182, COLUMN(B1))</f>
        <v>883049975.25623703</v>
      </c>
      <c r="AC18" s="8" cm="1">
        <f t="array" ref="AC18">INDEX($K$163:$K$182, COLUMN(C1))</f>
        <v>534361083.14880353</v>
      </c>
      <c r="AD18" s="8" cm="1">
        <f t="array" ref="AD18">INDEX($K$163:$K$182, COLUMN(D1))</f>
        <v>323358558.61510682</v>
      </c>
      <c r="AE18" s="8" cm="1">
        <f t="array" ref="AE18">INDEX($K$163:$K$182, COLUMN(E1))</f>
        <v>195674349.66165459</v>
      </c>
      <c r="AF18" s="8" cm="1">
        <f t="array" ref="AF18">INDEX($K$163:$K$182, COLUMN(F1))</f>
        <v>118408652.23884842</v>
      </c>
      <c r="AG18" s="8" cm="1">
        <f t="array" ref="AG18">INDEX($K$163:$K$182, COLUMN(G1))</f>
        <v>71652768.741860822</v>
      </c>
      <c r="AH18" s="8" cm="1">
        <f t="array" ref="AH18">INDEX($K$163:$K$182, COLUMN(H1))</f>
        <v>43359325.279864483</v>
      </c>
      <c r="AI18" s="8" cm="1">
        <f t="array" ref="AI18">INDEX($K$163:$K$182, COLUMN(I1))</f>
        <v>26238080.143115915</v>
      </c>
      <c r="AJ18" s="8" cm="1">
        <f t="array" ref="AJ18">INDEX($K$163:$K$182, COLUMN(J1))</f>
        <v>15877480.683867458</v>
      </c>
      <c r="AK18" s="8" cm="1">
        <f t="array" ref="AK18">INDEX($K$163:$K$182, COLUMN(K1))</f>
        <v>9607958.7946805637</v>
      </c>
      <c r="AL18" s="8" cm="1">
        <f t="array" ref="AL18">INDEX($K$163:$K$182, COLUMN(L1))</f>
        <v>5814075.5475190403</v>
      </c>
      <c r="AM18" s="8" cm="1">
        <f t="array" ref="AM18">INDEX($K$163:$K$182, COLUMN(M1))</f>
        <v>3518278.4600381567</v>
      </c>
      <c r="AN18" s="8" cm="1">
        <f t="array" ref="AN18">INDEX($K$163:$K$182, COLUMN(N1))</f>
        <v>2129020.034431871</v>
      </c>
      <c r="AO18" s="8" cm="1">
        <f t="array" ref="AO18">INDEX($K$163:$K$182, COLUMN(O1))</f>
        <v>1288336.428880366</v>
      </c>
      <c r="AP18" s="8" cm="1">
        <f t="array" ref="AP18">INDEX($K$163:$K$182, COLUMN(P1))</f>
        <v>779612.55748499243</v>
      </c>
      <c r="AQ18" s="8" cm="1">
        <f t="array" ref="AQ18">INDEX($K$163:$K$182, COLUMN(Q1))</f>
        <v>471767.87534952961</v>
      </c>
      <c r="AR18" s="8" cm="1">
        <f t="array" ref="AR18">INDEX($K$163:$K$182, COLUMN(R1))</f>
        <v>285481.4562374379</v>
      </c>
      <c r="AS18" s="8" cm="1">
        <f t="array" ref="AS18">INDEX($K$163:$K$182, COLUMN(S1))</f>
        <v>172753.7335921101</v>
      </c>
      <c r="AT18" s="8" cm="1">
        <f t="array" ref="AT18">INDEX($K$163:$K$182, COLUMN(T1))</f>
        <v>104538.67254058074</v>
      </c>
      <c r="AW18" s="26">
        <v>90</v>
      </c>
      <c r="AX18" s="8">
        <f t="shared" si="8"/>
        <v>0.99989795420258343</v>
      </c>
      <c r="AY18" s="8">
        <f t="shared" si="9"/>
        <v>0.99983137144245826</v>
      </c>
      <c r="AZ18" s="8">
        <f t="shared" si="10"/>
        <v>0.99972135087019309</v>
      </c>
      <c r="BA18" s="8">
        <f t="shared" si="11"/>
        <v>0.99953956464307159</v>
      </c>
      <c r="BB18" s="8">
        <f t="shared" si="12"/>
        <v>0.99923922912700158</v>
      </c>
      <c r="BC18" s="8">
        <f t="shared" si="13"/>
        <v>0.99874311218224454</v>
      </c>
      <c r="BD18" s="8">
        <f t="shared" si="14"/>
        <v>0.99792380175475892</v>
      </c>
      <c r="BE18" s="8">
        <f t="shared" si="15"/>
        <v>0.99657133604862891</v>
      </c>
      <c r="BF18" s="8">
        <f t="shared" si="16"/>
        <v>0.99434035632632434</v>
      </c>
      <c r="BG18" s="8">
        <f t="shared" si="17"/>
        <v>0.99066452688558715</v>
      </c>
      <c r="BH18" s="8">
        <f t="shared" si="18"/>
        <v>0.98461985121817752</v>
      </c>
      <c r="BI18" s="8">
        <f t="shared" si="19"/>
        <v>0.97471154575780783</v>
      </c>
      <c r="BJ18" s="8">
        <f t="shared" si="20"/>
        <v>0.9585557834779852</v>
      </c>
      <c r="BK18" s="8">
        <f t="shared" si="21"/>
        <v>0.93244260931832923</v>
      </c>
      <c r="BL18" s="8">
        <f t="shared" si="22"/>
        <v>0.89083956863859926</v>
      </c>
      <c r="BM18" s="8">
        <f t="shared" si="23"/>
        <v>0.82611775128347331</v>
      </c>
      <c r="BN18" s="8">
        <f t="shared" si="24"/>
        <v>0.72930466338587818</v>
      </c>
      <c r="BO18" s="8">
        <f t="shared" si="25"/>
        <v>0.59354331206198585</v>
      </c>
      <c r="BP18" s="8">
        <f t="shared" si="26"/>
        <v>0.42230124798379653</v>
      </c>
      <c r="BQ18" s="8">
        <f t="shared" si="27"/>
        <v>0.2406180190635574</v>
      </c>
    </row>
    <row r="19" spans="2:69" x14ac:dyDescent="0.3">
      <c r="F19">
        <v>10</v>
      </c>
      <c r="G19">
        <f t="shared" si="4"/>
        <v>283</v>
      </c>
      <c r="H19">
        <f t="shared" si="0"/>
        <v>41.006950268000928</v>
      </c>
      <c r="J19">
        <v>1.7</v>
      </c>
      <c r="K19">
        <f t="shared" si="5"/>
        <v>54432018.169684924</v>
      </c>
      <c r="L19">
        <f t="shared" si="1"/>
        <v>0.9972678493962982</v>
      </c>
      <c r="N19">
        <v>17</v>
      </c>
      <c r="O19">
        <f t="shared" si="6"/>
        <v>466113.58261728671</v>
      </c>
      <c r="P19">
        <f t="shared" si="2"/>
        <v>0.72651732983128037</v>
      </c>
      <c r="R19">
        <f t="shared" si="7"/>
        <v>466113.58261728671</v>
      </c>
      <c r="S19">
        <f t="shared" si="3"/>
        <v>0.72651732983128037</v>
      </c>
      <c r="Z19" s="26">
        <v>100</v>
      </c>
      <c r="AA19" s="8" cm="1">
        <f t="array" ref="AA19">INDEX($K$183:$K$202, COLUMN(A1))</f>
        <v>930176742.10259211</v>
      </c>
      <c r="AB19" s="8" cm="1">
        <f t="array" ref="AB19">INDEX($K$183:$K$202, COLUMN(B1))</f>
        <v>562878959.6936866</v>
      </c>
      <c r="AC19" s="8" cm="1">
        <f t="array" ref="AC19">INDEX($K$183:$K$202, COLUMN(C1))</f>
        <v>340615615.2105794</v>
      </c>
      <c r="AD19" s="8" cm="1">
        <f t="array" ref="AD19">INDEX($K$183:$K$202, COLUMN(D1))</f>
        <v>206117132.87065828</v>
      </c>
      <c r="AE19" s="8" cm="1">
        <f t="array" ref="AE19">INDEX($K$183:$K$202, COLUMN(E1))</f>
        <v>124727906.0783971</v>
      </c>
      <c r="AF19" s="8" cm="1">
        <f t="array" ref="AF19">INDEX($K$183:$K$202, COLUMN(F1))</f>
        <v>75476746.343370393</v>
      </c>
      <c r="AG19" s="8" cm="1">
        <f t="array" ref="AG19">INDEX($K$183:$K$202, COLUMN(G1))</f>
        <v>45673333.399831332</v>
      </c>
      <c r="AH19" s="8" cm="1">
        <f t="array" ref="AH19">INDEX($K$183:$K$202, COLUMN(H1))</f>
        <v>27638358.63249791</v>
      </c>
      <c r="AI19" s="8" cm="1">
        <f t="array" ref="AI19">INDEX($K$183:$K$202, COLUMN(I1))</f>
        <v>16724832.873735305</v>
      </c>
      <c r="AJ19" s="8" cm="1">
        <f t="array" ref="AJ19">INDEX($K$183:$K$202, COLUMN(J1))</f>
        <v>10120718.034444897</v>
      </c>
      <c r="AK19" s="8" cm="1">
        <f t="array" ref="AK19">INDEX($K$183:$K$202, COLUMN(K1))</f>
        <v>6124362.1569213169</v>
      </c>
      <c r="AL19" s="8" cm="1">
        <f t="array" ref="AL19">INDEX($K$183:$K$202, COLUMN(L1))</f>
        <v>3706042.565505303</v>
      </c>
      <c r="AM19" s="8" cm="1">
        <f t="array" ref="AM19">INDEX($K$183:$K$202, COLUMN(M1))</f>
        <v>2242641.9511810024</v>
      </c>
      <c r="AN19" s="8" cm="1">
        <f t="array" ref="AN19">INDEX($K$183:$K$202, COLUMN(N1))</f>
        <v>1357092.5946748268</v>
      </c>
      <c r="AO19" s="8" cm="1">
        <f t="array" ref="AO19">INDEX($K$183:$K$202, COLUMN(O1))</f>
        <v>821219.05797373806</v>
      </c>
      <c r="AP19" s="8" cm="1">
        <f t="array" ref="AP19">INDEX($K$183:$K$202, COLUMN(P1))</f>
        <v>496945.2665393611</v>
      </c>
      <c r="AQ19" s="8" cm="1">
        <f t="array" ref="AQ19">INDEX($K$183:$K$202, COLUMN(Q1))</f>
        <v>300717.08095183305</v>
      </c>
      <c r="AR19" s="8" cm="1">
        <f t="array" ref="AR19">INDEX($K$183:$K$202, COLUMN(R1))</f>
        <v>181973.28531959865</v>
      </c>
      <c r="AS19" s="8" cm="1">
        <f t="array" ref="AS19">INDEX($K$183:$K$202, COLUMN(S1))</f>
        <v>110117.71085697724</v>
      </c>
      <c r="AT19" s="8" cm="1">
        <f t="array" ref="AT19">INDEX($K$183:$K$202, COLUMN(T1))</f>
        <v>66635.661509787737</v>
      </c>
      <c r="AW19" s="26">
        <v>100</v>
      </c>
      <c r="AX19" s="8">
        <f t="shared" si="8"/>
        <v>0.99983991420882301</v>
      </c>
      <c r="AY19" s="8">
        <f t="shared" si="9"/>
        <v>0.99973546656984069</v>
      </c>
      <c r="AZ19" s="8">
        <f t="shared" si="10"/>
        <v>0.9995628871855563</v>
      </c>
      <c r="BA19" s="8">
        <f t="shared" si="11"/>
        <v>0.99927775913920203</v>
      </c>
      <c r="BB19" s="8">
        <f t="shared" si="12"/>
        <v>0.99880675353361426</v>
      </c>
      <c r="BC19" s="8">
        <f t="shared" si="13"/>
        <v>0.99802888717541849</v>
      </c>
      <c r="BD19" s="8">
        <f t="shared" si="14"/>
        <v>0.99674476390630162</v>
      </c>
      <c r="BE19" s="8">
        <f t="shared" si="15"/>
        <v>0.99462632644290061</v>
      </c>
      <c r="BF19" s="8">
        <f t="shared" si="16"/>
        <v>0.99113539947302887</v>
      </c>
      <c r="BG19" s="8">
        <f t="shared" si="17"/>
        <v>0.98539335632440117</v>
      </c>
      <c r="BH19" s="8">
        <f t="shared" si="18"/>
        <v>0.97597725065198537</v>
      </c>
      <c r="BI19" s="8">
        <f t="shared" si="19"/>
        <v>0.96061360703152743</v>
      </c>
      <c r="BJ19" s="8">
        <f t="shared" si="20"/>
        <v>0.93575290909344211</v>
      </c>
      <c r="BK19" s="8">
        <f t="shared" si="21"/>
        <v>0.8960719298387273</v>
      </c>
      <c r="BL19" s="8">
        <f t="shared" si="22"/>
        <v>0.83415156072953256</v>
      </c>
      <c r="BM19" s="8">
        <f t="shared" si="23"/>
        <v>0.7410621166830722</v>
      </c>
      <c r="BN19" s="8">
        <f t="shared" si="24"/>
        <v>0.60943907172384415</v>
      </c>
      <c r="BO19" s="8">
        <f t="shared" si="25"/>
        <v>0.44115372538461112</v>
      </c>
      <c r="BP19" s="8">
        <f t="shared" si="26"/>
        <v>0.25862632715288764</v>
      </c>
      <c r="BQ19" s="8">
        <f t="shared" si="27"/>
        <v>0.10700931703897205</v>
      </c>
    </row>
    <row r="20" spans="2:69" x14ac:dyDescent="0.3">
      <c r="F20">
        <v>10</v>
      </c>
      <c r="G20">
        <f t="shared" si="4"/>
        <v>283</v>
      </c>
      <c r="H20">
        <f t="shared" si="0"/>
        <v>41.006950268000928</v>
      </c>
      <c r="J20">
        <v>1.8</v>
      </c>
      <c r="K20">
        <f t="shared" si="5"/>
        <v>32938511.97797507</v>
      </c>
      <c r="L20">
        <f t="shared" si="1"/>
        <v>0.99548905360591089</v>
      </c>
      <c r="N20">
        <v>18</v>
      </c>
      <c r="O20">
        <f t="shared" si="6"/>
        <v>348700.43930491939</v>
      </c>
      <c r="P20">
        <f t="shared" si="2"/>
        <v>0.65241693954405156</v>
      </c>
      <c r="R20">
        <f t="shared" si="7"/>
        <v>348700.43930491939</v>
      </c>
      <c r="S20">
        <f t="shared" si="3"/>
        <v>0.65241693954405156</v>
      </c>
      <c r="Z20" s="26">
        <v>110</v>
      </c>
      <c r="AA20" s="8" cm="1">
        <f t="array" ref="AA20">INDEX($K$203:$K$222, COLUMN(A1))</f>
        <v>607026646.14239538</v>
      </c>
      <c r="AB20" s="8" cm="1">
        <f t="array" ref="AB20">INDEX($K$203:$K$222, COLUMN(B1))</f>
        <v>367330757.28665543</v>
      </c>
      <c r="AC20" s="8" cm="1">
        <f t="array" ref="AC20">INDEX($K$203:$K$222, COLUMN(C1))</f>
        <v>222283298.61014974</v>
      </c>
      <c r="AD20" s="8" cm="1">
        <f t="array" ref="AD20">INDEX($K$203:$K$222, COLUMN(D1))</f>
        <v>134510557.20458174</v>
      </c>
      <c r="AE20" s="8" cm="1">
        <f t="array" ref="AE20">INDEX($K$203:$K$222, COLUMN(E1))</f>
        <v>81396533.669493154</v>
      </c>
      <c r="AF20" s="8" cm="1">
        <f t="array" ref="AF20">INDEX($K$203:$K$222, COLUMN(F1))</f>
        <v>49255581.354347825</v>
      </c>
      <c r="AG20" s="8" cm="1">
        <f t="array" ref="AG20">INDEX($K$203:$K$222, COLUMN(G1))</f>
        <v>29806088.603304591</v>
      </c>
      <c r="AH20" s="8" cm="1">
        <f t="array" ref="AH20">INDEX($K$203:$K$222, COLUMN(H1))</f>
        <v>18036593.892513726</v>
      </c>
      <c r="AI20" s="8" cm="1">
        <f t="array" ref="AI20">INDEX($K$203:$K$222, COLUMN(I1))</f>
        <v>10914505.541911175</v>
      </c>
      <c r="AJ20" s="8" cm="1">
        <f t="array" ref="AJ20">INDEX($K$203:$K$222, COLUMN(J1))</f>
        <v>6604707.7366339387</v>
      </c>
      <c r="AK20" s="8" cm="1">
        <f t="array" ref="AK20">INDEX($K$203:$K$222, COLUMN(K1))</f>
        <v>3996714.6581991427</v>
      </c>
      <c r="AL20" s="8" cm="1">
        <f t="array" ref="AL20">INDEX($K$203:$K$222, COLUMN(L1))</f>
        <v>2418536.7007934931</v>
      </c>
      <c r="AM20" s="8" cm="1">
        <f t="array" ref="AM20">INDEX($K$203:$K$222, COLUMN(M1))</f>
        <v>1463531.9939804459</v>
      </c>
      <c r="AN20" s="8" cm="1">
        <f t="array" ref="AN20">INDEX($K$203:$K$222, COLUMN(N1))</f>
        <v>885628.85843396292</v>
      </c>
      <c r="AO20" s="8" cm="1">
        <f t="array" ref="AO20">INDEX($K$203:$K$222, COLUMN(O1))</f>
        <v>535921.64579732553</v>
      </c>
      <c r="AP20" s="8" cm="1">
        <f t="array" ref="AP20">INDEX($K$203:$K$222, COLUMN(P1))</f>
        <v>324302.90374907723</v>
      </c>
      <c r="AQ20" s="8" cm="1">
        <f t="array" ref="AQ20">INDEX($K$203:$K$222, COLUMN(Q1))</f>
        <v>196245.80235719244</v>
      </c>
      <c r="AR20" s="8" cm="1">
        <f t="array" ref="AR20">INDEX($K$203:$K$222, COLUMN(R1))</f>
        <v>118754.45608904066</v>
      </c>
      <c r="AS20" s="8" cm="1">
        <f t="array" ref="AS20">INDEX($K$203:$K$222, COLUMN(S1))</f>
        <v>71862.025437544711</v>
      </c>
      <c r="AT20" s="8" cm="1">
        <f t="array" ref="AT20">INDEX($K$203:$K$222, COLUMN(T1))</f>
        <v>43485.953033326914</v>
      </c>
      <c r="AW20" s="26">
        <v>110</v>
      </c>
      <c r="AX20" s="8">
        <f t="shared" si="8"/>
        <v>0.99975470313305892</v>
      </c>
      <c r="AY20" s="8">
        <f t="shared" si="9"/>
        <v>0.99959467097647514</v>
      </c>
      <c r="AZ20" s="8">
        <f t="shared" si="10"/>
        <v>0.99933026850350271</v>
      </c>
      <c r="BA20" s="8">
        <f t="shared" si="11"/>
        <v>0.99889348764156427</v>
      </c>
      <c r="BB20" s="8">
        <f t="shared" si="12"/>
        <v>0.99817211068884026</v>
      </c>
      <c r="BC20" s="8">
        <f t="shared" si="13"/>
        <v>0.99698115220172989</v>
      </c>
      <c r="BD20" s="8">
        <f t="shared" si="14"/>
        <v>0.99501616610325749</v>
      </c>
      <c r="BE20" s="8">
        <f t="shared" si="15"/>
        <v>0.9917774438544128</v>
      </c>
      <c r="BF20" s="8">
        <f t="shared" si="16"/>
        <v>0.98644843276450034</v>
      </c>
      <c r="BG20" s="8">
        <f t="shared" si="17"/>
        <v>0.97770474295986098</v>
      </c>
      <c r="BH20" s="8">
        <f t="shared" si="18"/>
        <v>0.96342503073993457</v>
      </c>
      <c r="BI20" s="8">
        <f t="shared" si="19"/>
        <v>0.94028296517774446</v>
      </c>
      <c r="BJ20" s="8">
        <f t="shared" si="20"/>
        <v>0.90325186900122079</v>
      </c>
      <c r="BK20" s="8">
        <f t="shared" si="21"/>
        <v>0.84522560243520073</v>
      </c>
      <c r="BL20" s="8">
        <f t="shared" si="22"/>
        <v>0.75739039755249071</v>
      </c>
      <c r="BM20" s="8">
        <f t="shared" si="23"/>
        <v>0.63178866681889401</v>
      </c>
      <c r="BN20" s="8">
        <f t="shared" si="24"/>
        <v>0.46820724185918927</v>
      </c>
      <c r="BO20" s="8">
        <f t="shared" si="25"/>
        <v>0.28535647209935516</v>
      </c>
      <c r="BP20" s="8">
        <f t="shared" si="26"/>
        <v>0.12589531909340737</v>
      </c>
      <c r="BQ20" s="8">
        <f t="shared" si="27"/>
        <v>3.2563797015780965E-2</v>
      </c>
    </row>
    <row r="21" spans="2:69" x14ac:dyDescent="0.3">
      <c r="B21" s="18" t="s">
        <v>75</v>
      </c>
      <c r="F21">
        <v>10</v>
      </c>
      <c r="G21">
        <f t="shared" si="4"/>
        <v>283</v>
      </c>
      <c r="H21">
        <f t="shared" si="0"/>
        <v>41.006950268000928</v>
      </c>
      <c r="J21">
        <v>1.9</v>
      </c>
      <c r="K21">
        <f t="shared" si="5"/>
        <v>19932120.979623251</v>
      </c>
      <c r="L21">
        <f t="shared" si="1"/>
        <v>0.99255648378936534</v>
      </c>
      <c r="N21">
        <v>19</v>
      </c>
      <c r="O21">
        <f t="shared" si="6"/>
        <v>264990.05692363868</v>
      </c>
      <c r="P21">
        <f t="shared" si="2"/>
        <v>0.57007727888483861</v>
      </c>
      <c r="R21">
        <f t="shared" si="7"/>
        <v>264990.05692363868</v>
      </c>
      <c r="S21">
        <f t="shared" si="3"/>
        <v>0.57007727888483861</v>
      </c>
      <c r="Z21" s="26">
        <v>120</v>
      </c>
      <c r="AA21" s="8" cm="1">
        <f t="array" ref="AA21">INDEX($K$223:$K$242, COLUMN(A1))</f>
        <v>404839609.51133335</v>
      </c>
      <c r="AB21" s="8" cm="1">
        <f t="array" ref="AB21">INDEX($K$223:$K$242, COLUMN(B1))</f>
        <v>244981075.0260669</v>
      </c>
      <c r="AC21" s="8" cm="1">
        <f t="array" ref="AC21">INDEX($K$223:$K$242, COLUMN(C1))</f>
        <v>148245689.6778706</v>
      </c>
      <c r="AD21" s="8" cm="1">
        <f t="array" ref="AD21">INDEX($K$223:$K$242, COLUMN(D1))</f>
        <v>89708090.74018921</v>
      </c>
      <c r="AE21" s="8" cm="1">
        <f t="array" ref="AE21">INDEX($K$223:$K$242, COLUMN(E1))</f>
        <v>54285163.782750554</v>
      </c>
      <c r="AF21" s="8" cm="1">
        <f t="array" ref="AF21">INDEX($K$223:$K$242, COLUMN(F1))</f>
        <v>32849645.807921</v>
      </c>
      <c r="AG21" s="8" cm="1">
        <f t="array" ref="AG21">INDEX($K$223:$K$242, COLUMN(G1))</f>
        <v>19878345.288307901</v>
      </c>
      <c r="AH21" s="8" cm="1">
        <f t="array" ref="AH21">INDEX($K$223:$K$242, COLUMN(H1))</f>
        <v>12029006.757385213</v>
      </c>
      <c r="AI21" s="8" cm="1">
        <f t="array" ref="AI21">INDEX($K$223:$K$242, COLUMN(I1))</f>
        <v>7279127.1844104342</v>
      </c>
      <c r="AJ21" s="8" cm="1">
        <f t="array" ref="AJ21">INDEX($K$223:$K$242, COLUMN(J1))</f>
        <v>4404826.9017965626</v>
      </c>
      <c r="AK21" s="8" cm="1">
        <f t="array" ref="AK21">INDEX($K$223:$K$242, COLUMN(K1))</f>
        <v>2665498.148781443</v>
      </c>
      <c r="AL21" s="8" cm="1">
        <f t="array" ref="AL21">INDEX($K$223:$K$242, COLUMN(L1))</f>
        <v>1612976.0691071635</v>
      </c>
      <c r="AM21" s="8" cm="1">
        <f t="array" ref="AM21">INDEX($K$223:$K$242, COLUMN(M1))</f>
        <v>976062.12958796544</v>
      </c>
      <c r="AN21" s="8" cm="1">
        <f t="array" ref="AN21">INDEX($K$223:$K$242, COLUMN(N1))</f>
        <v>590645.63886750408</v>
      </c>
      <c r="AO21" s="8" cm="1">
        <f t="array" ref="AO21">INDEX($K$223:$K$242, COLUMN(O1))</f>
        <v>357418.09884629952</v>
      </c>
      <c r="AP21" s="8" cm="1">
        <f t="array" ref="AP21">INDEX($K$223:$K$242, COLUMN(P1))</f>
        <v>216284.83980317719</v>
      </c>
      <c r="AQ21" s="8" cm="1">
        <f t="array" ref="AQ21">INDEX($K$223:$K$242, COLUMN(Q1))</f>
        <v>130880.70268316899</v>
      </c>
      <c r="AR21" s="8" cm="1">
        <f t="array" ref="AR21">INDEX($K$223:$K$242, COLUMN(R1))</f>
        <v>79199.995480165933</v>
      </c>
      <c r="AS21" s="8" cm="1">
        <f t="array" ref="AS21">INDEX($K$223:$K$242, COLUMN(S1))</f>
        <v>47926.38758398853</v>
      </c>
      <c r="AT21" s="8" cm="1">
        <f t="array" ref="AT21">INDEX($K$223:$K$242, COLUMN(T1))</f>
        <v>29001.751994113503</v>
      </c>
      <c r="AW21" s="26">
        <v>120</v>
      </c>
      <c r="AX21" s="8">
        <f t="shared" si="8"/>
        <v>0.99963221826670334</v>
      </c>
      <c r="AY21" s="8">
        <f t="shared" si="9"/>
        <v>0.99939230103331567</v>
      </c>
      <c r="AZ21" s="8">
        <f t="shared" si="10"/>
        <v>0.99899595579018385</v>
      </c>
      <c r="BA21" s="8">
        <f t="shared" si="11"/>
        <v>0.9983413261864188</v>
      </c>
      <c r="BB21" s="8">
        <f t="shared" si="12"/>
        <v>0.99726046840703131</v>
      </c>
      <c r="BC21" s="8">
        <f t="shared" si="13"/>
        <v>0.99547687805399088</v>
      </c>
      <c r="BD21" s="8">
        <f t="shared" si="14"/>
        <v>0.99253642262542741</v>
      </c>
      <c r="BE21" s="8">
        <f t="shared" si="15"/>
        <v>0.9876962433424219</v>
      </c>
      <c r="BF21" s="8">
        <f t="shared" si="16"/>
        <v>0.97974935839242083</v>
      </c>
      <c r="BG21" s="8">
        <f t="shared" si="17"/>
        <v>0.96675675036408371</v>
      </c>
      <c r="BH21" s="8">
        <f t="shared" si="18"/>
        <v>0.94566255412085753</v>
      </c>
      <c r="BI21" s="8">
        <f t="shared" si="19"/>
        <v>0.91180764175319784</v>
      </c>
      <c r="BJ21" s="8">
        <f t="shared" si="20"/>
        <v>0.85849686114015222</v>
      </c>
      <c r="BK21" s="8">
        <f t="shared" si="21"/>
        <v>0.7771430251128143</v>
      </c>
      <c r="BL21" s="8">
        <f t="shared" si="22"/>
        <v>0.65924839142953129</v>
      </c>
      <c r="BM21" s="8">
        <f t="shared" si="23"/>
        <v>0.50231067838198418</v>
      </c>
      <c r="BN21" s="8">
        <f t="shared" si="24"/>
        <v>0.32051375798585247</v>
      </c>
      <c r="BO21" s="8">
        <f t="shared" si="25"/>
        <v>0.1525438569672467</v>
      </c>
      <c r="BP21" s="8">
        <f t="shared" si="26"/>
        <v>4.4723093521925106E-2</v>
      </c>
      <c r="BQ21" s="8">
        <f t="shared" si="27"/>
        <v>5.8878628066212418E-3</v>
      </c>
    </row>
    <row r="22" spans="2:69" x14ac:dyDescent="0.3">
      <c r="B22" s="17">
        <f>148920</f>
        <v>148920</v>
      </c>
      <c r="F22">
        <v>10</v>
      </c>
      <c r="G22">
        <f t="shared" si="4"/>
        <v>283</v>
      </c>
      <c r="H22">
        <f t="shared" si="0"/>
        <v>41.006950268000928</v>
      </c>
      <c r="J22">
        <v>2</v>
      </c>
      <c r="K22">
        <f t="shared" si="5"/>
        <v>12061548.105512198</v>
      </c>
      <c r="L22">
        <f t="shared" si="1"/>
        <v>0.9877292336527812</v>
      </c>
      <c r="N22">
        <v>20</v>
      </c>
      <c r="O22">
        <f t="shared" si="6"/>
        <v>204231.82206384139</v>
      </c>
      <c r="P22">
        <f t="shared" si="2"/>
        <v>0.48230847390530102</v>
      </c>
      <c r="R22">
        <f t="shared" si="7"/>
        <v>204231.82206384139</v>
      </c>
      <c r="S22">
        <f t="shared" si="3"/>
        <v>0.48230847390530102</v>
      </c>
      <c r="Z22" s="26">
        <v>130</v>
      </c>
      <c r="AA22" s="8" cm="1">
        <f t="array" ref="AA22">INDEX($K$243:$K$262, COLUMN(A1))</f>
        <v>275479316.28952724</v>
      </c>
      <c r="AB22" s="8" cm="1">
        <f t="array" ref="AB22">INDEX($K$243:$K$262, COLUMN(B1))</f>
        <v>166701126.73390722</v>
      </c>
      <c r="AC22" s="8" cm="1">
        <f t="array" ref="AC22">INDEX($K$243:$K$262, COLUMN(C1))</f>
        <v>100876051.34444226</v>
      </c>
      <c r="AD22" s="8" cm="1">
        <f t="array" ref="AD22">INDEX($K$243:$K$262, COLUMN(D1))</f>
        <v>61043245.083098441</v>
      </c>
      <c r="AE22" s="8" cm="1">
        <f t="array" ref="AE22">INDEX($K$243:$K$262, COLUMN(E1))</f>
        <v>36939171.593382552</v>
      </c>
      <c r="AF22" s="8" cm="1">
        <f t="array" ref="AF22">INDEX($K$243:$K$262, COLUMN(F1))</f>
        <v>22353044.897070222</v>
      </c>
      <c r="AG22" s="8" cm="1">
        <f t="array" ref="AG22">INDEX($K$243:$K$262, COLUMN(G1))</f>
        <v>13526524.678749114</v>
      </c>
      <c r="AH22" s="8" cm="1">
        <f t="array" ref="AH22">INDEX($K$243:$K$262, COLUMN(H1))</f>
        <v>8185321.9875557022</v>
      </c>
      <c r="AI22" s="8" cm="1">
        <f t="array" ref="AI22">INDEX($K$243:$K$262, COLUMN(I1))</f>
        <v>4953193.6422089683</v>
      </c>
      <c r="AJ22" s="8" cm="1">
        <f t="array" ref="AJ22">INDEX($K$243:$K$262, COLUMN(J1))</f>
        <v>2997331.9674557778</v>
      </c>
      <c r="AK22" s="8" cm="1">
        <f t="array" ref="AK22">INDEX($K$243:$K$262, COLUMN(K1))</f>
        <v>1813779.0629816232</v>
      </c>
      <c r="AL22" s="8" cm="1">
        <f t="array" ref="AL22">INDEX($K$243:$K$262, COLUMN(L1))</f>
        <v>1097574.2844069991</v>
      </c>
      <c r="AM22" s="8" cm="1">
        <f t="array" ref="AM22">INDEX($K$243:$K$262, COLUMN(M1))</f>
        <v>664176.43382166466</v>
      </c>
      <c r="AN22" s="8" cm="1">
        <f t="array" ref="AN22">INDEX($K$243:$K$262, COLUMN(N1))</f>
        <v>401913.87636455073</v>
      </c>
      <c r="AO22" s="8" cm="1">
        <f t="array" ref="AO22">INDEX($K$243:$K$262, COLUMN(O1))</f>
        <v>243210.62264270577</v>
      </c>
      <c r="AP22" s="8" cm="1">
        <f t="array" ref="AP22">INDEX($K$243:$K$262, COLUMN(P1))</f>
        <v>147174.33371870004</v>
      </c>
      <c r="AQ22" s="8" cm="1">
        <f t="array" ref="AQ22">INDEX($K$243:$K$262, COLUMN(Q1))</f>
        <v>89059.779832741246</v>
      </c>
      <c r="AR22" s="8" cm="1">
        <f t="array" ref="AR22">INDEX($K$243:$K$262, COLUMN(R1))</f>
        <v>53892.850631254674</v>
      </c>
      <c r="AS22" s="8" cm="1">
        <f t="array" ref="AS22">INDEX($K$243:$K$262, COLUMN(S1))</f>
        <v>32612.244883351617</v>
      </c>
      <c r="AT22" s="8" cm="1">
        <f t="array" ref="AT22">INDEX($K$243:$K$262, COLUMN(T1))</f>
        <v>19734.686584103034</v>
      </c>
      <c r="AW22" s="26">
        <v>130</v>
      </c>
      <c r="AX22" s="8">
        <f t="shared" si="8"/>
        <v>0.99945956103966471</v>
      </c>
      <c r="AY22" s="8">
        <f t="shared" si="9"/>
        <v>0.999107063611545</v>
      </c>
      <c r="AZ22" s="8">
        <f t="shared" si="10"/>
        <v>0.99852482200445791</v>
      </c>
      <c r="BA22" s="8">
        <f t="shared" si="11"/>
        <v>0.99756339139323558</v>
      </c>
      <c r="BB22" s="8">
        <f t="shared" si="12"/>
        <v>0.99597662287388722</v>
      </c>
      <c r="BC22" s="8">
        <f t="shared" si="13"/>
        <v>0.99335996350457811</v>
      </c>
      <c r="BD22" s="8">
        <f t="shared" si="14"/>
        <v>0.98905090274189222</v>
      </c>
      <c r="BE22" s="8">
        <f t="shared" si="15"/>
        <v>0.9819709612654467</v>
      </c>
      <c r="BF22" s="8">
        <f t="shared" si="16"/>
        <v>0.9703820191420891</v>
      </c>
      <c r="BG22" s="8">
        <f t="shared" si="17"/>
        <v>0.9515298831868142</v>
      </c>
      <c r="BH22" s="8">
        <f t="shared" si="18"/>
        <v>0.92117539780096902</v>
      </c>
      <c r="BI22" s="8">
        <f t="shared" si="19"/>
        <v>0.87312109499578816</v>
      </c>
      <c r="BJ22" s="8">
        <f t="shared" si="20"/>
        <v>0.79914127762749265</v>
      </c>
      <c r="BK22" s="8">
        <f t="shared" si="21"/>
        <v>0.69037031141022343</v>
      </c>
      <c r="BL22" s="8">
        <f t="shared" si="22"/>
        <v>0.5420978376804354</v>
      </c>
      <c r="BM22" s="8">
        <f t="shared" si="23"/>
        <v>0.363541720531183</v>
      </c>
      <c r="BN22" s="8">
        <f t="shared" si="24"/>
        <v>0.18784553405034066</v>
      </c>
      <c r="BO22" s="8">
        <f t="shared" si="25"/>
        <v>6.3085724494746226E-2</v>
      </c>
      <c r="BP22" s="8">
        <f t="shared" si="26"/>
        <v>1.0395492494577161E-2</v>
      </c>
      <c r="BQ22" s="8">
        <f t="shared" si="27"/>
        <v>5.2816377986689448E-4</v>
      </c>
    </row>
    <row r="23" spans="2:69" x14ac:dyDescent="0.3">
      <c r="F23">
        <v>20</v>
      </c>
      <c r="G23">
        <f t="shared" si="4"/>
        <v>293</v>
      </c>
      <c r="H23">
        <f t="shared" si="0"/>
        <v>39.607395651345605</v>
      </c>
      <c r="J23">
        <v>0.1</v>
      </c>
      <c r="K23">
        <f t="shared" si="5"/>
        <v>80707481250.458466</v>
      </c>
      <c r="L23">
        <f t="shared" si="1"/>
        <v>0.99999815481959908</v>
      </c>
      <c r="N23">
        <v>1</v>
      </c>
      <c r="O23">
        <f t="shared" si="6"/>
        <v>497779220391.02399</v>
      </c>
      <c r="P23">
        <f t="shared" si="2"/>
        <v>0.99999970083126888</v>
      </c>
      <c r="R23">
        <f t="shared" si="7"/>
        <v>80707481250.458466</v>
      </c>
      <c r="S23">
        <f t="shared" si="3"/>
        <v>0.99999815481959908</v>
      </c>
      <c r="Z23" s="26">
        <v>140</v>
      </c>
      <c r="AA23" s="8" cm="1">
        <f t="array" ref="AA23">INDEX($K$263:$K$282, COLUMN(A1))</f>
        <v>190981613.16681489</v>
      </c>
      <c r="AB23" s="8" cm="1">
        <f t="array" ref="AB23">INDEX($K$263:$K$282, COLUMN(B1))</f>
        <v>115568931.01515797</v>
      </c>
      <c r="AC23" s="8" cm="1">
        <f t="array" ref="AC23">INDEX($K$263:$K$282, COLUMN(C1))</f>
        <v>69934364.855952114</v>
      </c>
      <c r="AD23" s="8" cm="1">
        <f t="array" ref="AD23">INDEX($K$263:$K$282, COLUMN(D1))</f>
        <v>42319465.489941701</v>
      </c>
      <c r="AE23" s="8" cm="1">
        <f t="array" ref="AE23">INDEX($K$263:$K$282, COLUMN(E1))</f>
        <v>25608828.550073542</v>
      </c>
      <c r="AF23" s="8" cm="1">
        <f t="array" ref="AF23">INDEX($K$263:$K$282, COLUMN(F1))</f>
        <v>15496700.91799558</v>
      </c>
      <c r="AG23" s="8" cm="1">
        <f t="array" ref="AG23">INDEX($K$263:$K$282, COLUMN(G1))</f>
        <v>9377537.081488857</v>
      </c>
      <c r="AH23" s="8" cm="1">
        <f t="array" ref="AH23">INDEX($K$263:$K$282, COLUMN(H1))</f>
        <v>5674640.1818066975</v>
      </c>
      <c r="AI23" s="8" cm="1">
        <f t="array" ref="AI23">INDEX($K$263:$K$282, COLUMN(I1))</f>
        <v>3433901.7711314205</v>
      </c>
      <c r="AJ23" s="8" cm="1">
        <f t="array" ref="AJ23">INDEX($K$263:$K$282, COLUMN(J1))</f>
        <v>2077961.0681897486</v>
      </c>
      <c r="AK23" s="8" cm="1">
        <f t="array" ref="AK23">INDEX($K$263:$K$282, COLUMN(K1))</f>
        <v>1257439.0558322773</v>
      </c>
      <c r="AL23" s="8" cm="1">
        <f t="array" ref="AL23">INDEX($K$263:$K$282, COLUMN(L1))</f>
        <v>760915.59333679848</v>
      </c>
      <c r="AM23" s="8" cm="1">
        <f t="array" ref="AM23">INDEX($K$263:$K$282, COLUMN(M1))</f>
        <v>460453.75916836492</v>
      </c>
      <c r="AN23" s="8" cm="1">
        <f t="array" ref="AN23">INDEX($K$263:$K$282, COLUMN(N1))</f>
        <v>278634.93163877795</v>
      </c>
      <c r="AO23" s="8" cm="1">
        <f t="array" ref="AO23">INDEX($K$263:$K$282, COLUMN(O1))</f>
        <v>168610.68800821344</v>
      </c>
      <c r="AP23" s="8" cm="1">
        <f t="array" ref="AP23">INDEX($K$263:$K$282, COLUMN(P1))</f>
        <v>102031.58643245496</v>
      </c>
      <c r="AQ23" s="8" cm="1">
        <f t="array" ref="AQ23">INDEX($K$263:$K$282, COLUMN(Q1))</f>
        <v>61742.495407031427</v>
      </c>
      <c r="AR23" s="8" cm="1">
        <f t="array" ref="AR23">INDEX($K$263:$K$282, COLUMN(R1))</f>
        <v>37362.309774639529</v>
      </c>
      <c r="AS23" s="8" cm="1">
        <f t="array" ref="AS23">INDEX($K$263:$K$282, COLUMN(S1))</f>
        <v>22609.0990086085</v>
      </c>
      <c r="AT23" s="8" cm="1">
        <f t="array" ref="AT23">INDEX($K$263:$K$282, COLUMN(T1))</f>
        <v>13681.471008198449</v>
      </c>
      <c r="AW23" s="26">
        <v>140</v>
      </c>
      <c r="AX23" s="8">
        <f t="shared" si="8"/>
        <v>0.99922054300609797</v>
      </c>
      <c r="AY23" s="8">
        <f t="shared" si="9"/>
        <v>0.99871224824782545</v>
      </c>
      <c r="AZ23" s="8">
        <f t="shared" si="10"/>
        <v>0.99787284040128166</v>
      </c>
      <c r="BA23" s="8">
        <f t="shared" si="11"/>
        <v>0.99648723620480817</v>
      </c>
      <c r="BB23" s="8">
        <f t="shared" si="12"/>
        <v>0.99420169339814379</v>
      </c>
      <c r="BC23" s="8">
        <f t="shared" si="13"/>
        <v>0.99043623913231704</v>
      </c>
      <c r="BD23" s="8">
        <f t="shared" si="14"/>
        <v>0.98424492794842111</v>
      </c>
      <c r="BE23" s="8">
        <f t="shared" si="15"/>
        <v>0.97409828324326675</v>
      </c>
      <c r="BF23" s="8">
        <f t="shared" si="16"/>
        <v>0.95755934842934609</v>
      </c>
      <c r="BG23" s="8">
        <f t="shared" si="17"/>
        <v>0.93084136781875804</v>
      </c>
      <c r="BH23" s="8">
        <f t="shared" si="18"/>
        <v>0.88831294100550195</v>
      </c>
      <c r="BI23" s="8">
        <f t="shared" si="19"/>
        <v>0.82224934609603795</v>
      </c>
      <c r="BJ23" s="8">
        <f t="shared" si="20"/>
        <v>0.72366977814093458</v>
      </c>
      <c r="BK23" s="8">
        <f t="shared" si="21"/>
        <v>0.58598400828455532</v>
      </c>
      <c r="BL23" s="8">
        <f t="shared" si="22"/>
        <v>0.41345027247691096</v>
      </c>
      <c r="BM23" s="8">
        <f t="shared" si="23"/>
        <v>0.23234126450349699</v>
      </c>
      <c r="BN23" s="8">
        <f t="shared" si="24"/>
        <v>8.9640052157669958E-2</v>
      </c>
      <c r="BO23" s="8">
        <f t="shared" si="25"/>
        <v>1.8576927096258116E-2</v>
      </c>
      <c r="BP23" s="8">
        <f t="shared" si="26"/>
        <v>1.3785423012098114E-3</v>
      </c>
      <c r="BQ23" s="8">
        <f t="shared" si="27"/>
        <v>1.8741045891178507E-5</v>
      </c>
    </row>
    <row r="24" spans="2:69" x14ac:dyDescent="0.3">
      <c r="F24">
        <v>20</v>
      </c>
      <c r="G24">
        <f t="shared" si="4"/>
        <v>293</v>
      </c>
      <c r="H24">
        <f t="shared" si="0"/>
        <v>39.607395651345605</v>
      </c>
      <c r="J24">
        <v>0.2</v>
      </c>
      <c r="K24">
        <f t="shared" si="5"/>
        <v>48838614243.426575</v>
      </c>
      <c r="L24">
        <f t="shared" si="1"/>
        <v>0.99999695077808282</v>
      </c>
      <c r="N24">
        <v>2</v>
      </c>
      <c r="O24">
        <f t="shared" si="6"/>
        <v>14743040657.31119</v>
      </c>
      <c r="P24">
        <f t="shared" si="2"/>
        <v>0.99998989901395918</v>
      </c>
      <c r="R24">
        <f t="shared" si="7"/>
        <v>14743040657.31119</v>
      </c>
      <c r="S24">
        <f t="shared" si="3"/>
        <v>0.99998989901395918</v>
      </c>
      <c r="Z24" s="26">
        <v>150</v>
      </c>
      <c r="AA24" s="8" cm="1">
        <f t="array" ref="AA24">INDEX($K$283:$K$302, COLUMN(A1))</f>
        <v>134715155.22654319</v>
      </c>
      <c r="AB24" s="8" cm="1">
        <f t="array" ref="AB24">INDEX($K$283:$K$302, COLUMN(B1))</f>
        <v>81520342.314177945</v>
      </c>
      <c r="AC24" s="8" cm="1">
        <f t="array" ref="AC24">INDEX($K$283:$K$302, COLUMN(C1))</f>
        <v>49330501.826949343</v>
      </c>
      <c r="AD24" s="8" cm="1">
        <f t="array" ref="AD24">INDEX($K$283:$K$302, COLUMN(D1))</f>
        <v>29851425.318112541</v>
      </c>
      <c r="AE24" s="8" cm="1">
        <f t="array" ref="AE24">INDEX($K$283:$K$302, COLUMN(E1))</f>
        <v>18064028.552736849</v>
      </c>
      <c r="AF24" s="8" cm="1">
        <f t="array" ref="AF24">INDEX($K$283:$K$302, COLUMN(F1))</f>
        <v>10931107.110523866</v>
      </c>
      <c r="AG24" s="8" cm="1">
        <f t="array" ref="AG24">INDEX($K$283:$K$302, COLUMN(G1))</f>
        <v>6614753.8636193033</v>
      </c>
      <c r="AH24" s="8" cm="1">
        <f t="array" ref="AH24">INDEX($K$283:$K$302, COLUMN(H1))</f>
        <v>4002793.8829857032</v>
      </c>
      <c r="AI24" s="8" cm="1">
        <f t="array" ref="AI24">INDEX($K$283:$K$302, COLUMN(I1))</f>
        <v>2422215.4293283154</v>
      </c>
      <c r="AJ24" s="8" cm="1">
        <f t="array" ref="AJ24">INDEX($K$283:$K$302, COLUMN(J1))</f>
        <v>1465758.1073597132</v>
      </c>
      <c r="AK24" s="8" cm="1">
        <f t="array" ref="AK24">INDEX($K$283:$K$302, COLUMN(K1))</f>
        <v>886975.94907423004</v>
      </c>
      <c r="AL24" s="8" cm="1">
        <f t="array" ref="AL24">INDEX($K$283:$K$302, COLUMN(L1))</f>
        <v>536736.81236071826</v>
      </c>
      <c r="AM24" s="8" cm="1">
        <f t="array" ref="AM24">INDEX($K$283:$K$302, COLUMN(M1))</f>
        <v>324796.18646236259</v>
      </c>
      <c r="AN24" s="8" cm="1">
        <f t="array" ref="AN24">INDEX($K$283:$K$302, COLUMN(N1))</f>
        <v>196544.30311293213</v>
      </c>
      <c r="AO24" s="8" cm="1">
        <f t="array" ref="AO24">INDEX($K$283:$K$302, COLUMN(O1))</f>
        <v>118935.08820684519</v>
      </c>
      <c r="AP24" s="8" cm="1">
        <f t="array" ref="AP24">INDEX($K$283:$K$302, COLUMN(P1))</f>
        <v>71971.331566105975</v>
      </c>
      <c r="AQ24" s="8" cm="1">
        <f t="array" ref="AQ24">INDEX($K$283:$K$302, COLUMN(Q1))</f>
        <v>43552.097581075664</v>
      </c>
      <c r="AR24" s="8" cm="1">
        <f t="array" ref="AR24">INDEX($K$283:$K$302, COLUMN(R1))</f>
        <v>26354.732675319865</v>
      </c>
      <c r="AS24" s="8" cm="1">
        <f t="array" ref="AS24">INDEX($K$283:$K$302, COLUMN(S1))</f>
        <v>15948.070769601269</v>
      </c>
      <c r="AT24" s="8" cm="1">
        <f t="array" ref="AT24">INDEX($K$283:$K$302, COLUMN(T1))</f>
        <v>9650.6750573262143</v>
      </c>
      <c r="AW24" s="26">
        <v>150</v>
      </c>
      <c r="AX24" s="8">
        <f t="shared" si="8"/>
        <v>0.99889516722343186</v>
      </c>
      <c r="AY24" s="8">
        <f t="shared" si="9"/>
        <v>0.99817488425242429</v>
      </c>
      <c r="AZ24" s="8">
        <f t="shared" si="10"/>
        <v>0.99698573014596592</v>
      </c>
      <c r="BA24" s="8">
        <f t="shared" si="11"/>
        <v>0.99502371641352794</v>
      </c>
      <c r="BB24" s="8">
        <f t="shared" si="12"/>
        <v>0.99178988041887306</v>
      </c>
      <c r="BC24" s="8">
        <f t="shared" si="13"/>
        <v>0.98646887426743379</v>
      </c>
      <c r="BD24" s="8">
        <f t="shared" si="14"/>
        <v>0.97773822404735877</v>
      </c>
      <c r="BE24" s="8">
        <f t="shared" si="15"/>
        <v>0.96347955189811207</v>
      </c>
      <c r="BF24" s="8">
        <f t="shared" si="16"/>
        <v>0.94037090066923934</v>
      </c>
      <c r="BG24" s="8">
        <f t="shared" si="17"/>
        <v>0.90339146668365655</v>
      </c>
      <c r="BH24" s="8">
        <f t="shared" si="18"/>
        <v>0.84544148339609637</v>
      </c>
      <c r="BI24" s="8">
        <f t="shared" si="19"/>
        <v>0.75771010160624108</v>
      </c>
      <c r="BJ24" s="8">
        <f t="shared" si="20"/>
        <v>0.63222943521304686</v>
      </c>
      <c r="BK24" s="8">
        <f t="shared" si="21"/>
        <v>0.46874715765988451</v>
      </c>
      <c r="BL24" s="8">
        <f t="shared" si="22"/>
        <v>0.28590046025512683</v>
      </c>
      <c r="BM24" s="8">
        <f t="shared" si="23"/>
        <v>0.12629217398615677</v>
      </c>
      <c r="BN24" s="8">
        <f t="shared" si="24"/>
        <v>3.2733603365717748E-2</v>
      </c>
      <c r="BO24" s="8">
        <f t="shared" si="25"/>
        <v>3.5154138947733724E-3</v>
      </c>
      <c r="BP24" s="8">
        <f t="shared" si="26"/>
        <v>8.8032317261285928E-5</v>
      </c>
      <c r="BQ24" s="8">
        <f t="shared" si="27"/>
        <v>1.9878442575671713E-7</v>
      </c>
    </row>
    <row r="25" spans="2:69" x14ac:dyDescent="0.3">
      <c r="F25">
        <v>20</v>
      </c>
      <c r="G25">
        <f t="shared" si="4"/>
        <v>293</v>
      </c>
      <c r="H25">
        <f t="shared" si="0"/>
        <v>39.607395651345605</v>
      </c>
      <c r="J25">
        <v>0.3</v>
      </c>
      <c r="K25">
        <f t="shared" si="5"/>
        <v>29553768798.907715</v>
      </c>
      <c r="L25">
        <f t="shared" si="1"/>
        <v>0.99999496106145336</v>
      </c>
      <c r="N25">
        <v>3</v>
      </c>
      <c r="O25">
        <f t="shared" si="6"/>
        <v>1881487357.5680728</v>
      </c>
      <c r="P25">
        <f t="shared" si="2"/>
        <v>0.99992085298578459</v>
      </c>
      <c r="R25">
        <f t="shared" si="7"/>
        <v>1881487357.5680728</v>
      </c>
      <c r="S25">
        <f t="shared" si="3"/>
        <v>0.99992085298578459</v>
      </c>
      <c r="Z25" s="26">
        <v>160</v>
      </c>
      <c r="AA25" s="8" cm="1">
        <f t="array" ref="AA25">INDEX($K$303:$K$322, COLUMN(A1))</f>
        <v>96570062.787039742</v>
      </c>
      <c r="AB25" s="8" cm="1">
        <f t="array" ref="AB25">INDEX($K$303:$K$322, COLUMN(B1))</f>
        <v>58437557.099366494</v>
      </c>
      <c r="AC25" s="8" cm="1">
        <f t="array" ref="AC25">INDEX($K$303:$K$322, COLUMN(C1))</f>
        <v>35362388.520679571</v>
      </c>
      <c r="AD25" s="8" cm="1">
        <f t="array" ref="AD25">INDEX($K$303:$K$322, COLUMN(D1))</f>
        <v>21398884.278498471</v>
      </c>
      <c r="AE25" s="8" cm="1">
        <f t="array" ref="AE25">INDEX($K$303:$K$322, COLUMN(E1))</f>
        <v>12949132.327325299</v>
      </c>
      <c r="AF25" s="8" cm="1">
        <f t="array" ref="AF25">INDEX($K$303:$K$322, COLUMN(F1))</f>
        <v>7835923.866323512</v>
      </c>
      <c r="AG25" s="8" cm="1">
        <f t="array" ref="AG25">INDEX($K$303:$K$322, COLUMN(G1))</f>
        <v>4741761.9410103932</v>
      </c>
      <c r="AH25" s="8" cm="1">
        <f t="array" ref="AH25">INDEX($K$303:$K$322, COLUMN(H1))</f>
        <v>2869388.0503159994</v>
      </c>
      <c r="AI25" s="8" cm="1">
        <f t="array" ref="AI25">INDEX($K$303:$K$322, COLUMN(I1))</f>
        <v>1736356.2080347398</v>
      </c>
      <c r="AJ25" s="8" cm="1">
        <f t="array" ref="AJ25">INDEX($K$303:$K$322, COLUMN(J1))</f>
        <v>1050723.299990308</v>
      </c>
      <c r="AK25" s="8" cm="1">
        <f t="array" ref="AK25">INDEX($K$303:$K$322, COLUMN(K1))</f>
        <v>635825.44182687276</v>
      </c>
      <c r="AL25" s="8" cm="1">
        <f t="array" ref="AL25">INDEX($K$303:$K$322, COLUMN(L1))</f>
        <v>384757.80681561684</v>
      </c>
      <c r="AM25" s="8" cm="1">
        <f t="array" ref="AM25">INDEX($K$303:$K$322, COLUMN(M1))</f>
        <v>232828.94984543952</v>
      </c>
      <c r="AN25" s="8" cm="1">
        <f t="array" ref="AN25">INDEX($K$303:$K$322, COLUMN(N1))</f>
        <v>140892.0596953824</v>
      </c>
      <c r="AO25" s="8" cm="1">
        <f t="array" ref="AO25">INDEX($K$303:$K$322, COLUMN(O1))</f>
        <v>85258.17987146652</v>
      </c>
      <c r="AP25" s="8" cm="1">
        <f t="array" ref="AP25">INDEX($K$303:$K$322, COLUMN(P1))</f>
        <v>51592.383919372747</v>
      </c>
      <c r="AQ25" s="8" cm="1">
        <f t="array" ref="AQ25">INDEX($K$303:$K$322, COLUMN(Q1))</f>
        <v>31220.16072237043</v>
      </c>
      <c r="AR25" s="8" cm="1">
        <f t="array" ref="AR25">INDEX($K$303:$K$322, COLUMN(R1))</f>
        <v>18892.293037938955</v>
      </c>
      <c r="AS25" s="8" cm="1">
        <f t="array" ref="AS25">INDEX($K$303:$K$322, COLUMN(S1))</f>
        <v>11432.315784832335</v>
      </c>
      <c r="AT25" s="8" cm="1">
        <f t="array" ref="AT25">INDEX($K$303:$K$322, COLUMN(T1))</f>
        <v>6918.0508655917265</v>
      </c>
      <c r="AW25" s="26">
        <v>160</v>
      </c>
      <c r="AX25" s="8">
        <f t="shared" si="8"/>
        <v>0.99845909559883395</v>
      </c>
      <c r="AY25" s="8">
        <f t="shared" si="9"/>
        <v>0.99745488316942865</v>
      </c>
      <c r="AZ25" s="8">
        <f t="shared" si="10"/>
        <v>0.99579760089871427</v>
      </c>
      <c r="BA25" s="8">
        <f t="shared" si="11"/>
        <v>0.99306491810840558</v>
      </c>
      <c r="BB25" s="8">
        <f t="shared" si="12"/>
        <v>0.98856549219827683</v>
      </c>
      <c r="BC25" s="8">
        <f t="shared" si="13"/>
        <v>0.98117467336566444</v>
      </c>
      <c r="BD25" s="8">
        <f t="shared" si="14"/>
        <v>0.9690820000072915</v>
      </c>
      <c r="BE25" s="8">
        <f t="shared" si="15"/>
        <v>0.94942421470555782</v>
      </c>
      <c r="BF25" s="8">
        <f t="shared" si="16"/>
        <v>0.91780914599683827</v>
      </c>
      <c r="BG25" s="8">
        <f t="shared" si="17"/>
        <v>0.86785473088463505</v>
      </c>
      <c r="BH25" s="8">
        <f t="shared" si="18"/>
        <v>0.7911915120299603</v>
      </c>
      <c r="BI25" s="8">
        <f t="shared" si="19"/>
        <v>0.67905803977878443</v>
      </c>
      <c r="BJ25" s="8">
        <f t="shared" si="20"/>
        <v>0.52749748427147347</v>
      </c>
      <c r="BK25" s="8">
        <f t="shared" si="21"/>
        <v>0.34750390852454527</v>
      </c>
      <c r="BL25" s="8">
        <f t="shared" si="22"/>
        <v>0.17434929107019995</v>
      </c>
      <c r="BM25" s="8">
        <f t="shared" si="23"/>
        <v>5.5772601064388409E-2</v>
      </c>
      <c r="BN25" s="8">
        <f t="shared" si="24"/>
        <v>8.4804254263031488E-3</v>
      </c>
      <c r="BO25" s="8">
        <f t="shared" si="25"/>
        <v>3.7725869799955599E-4</v>
      </c>
      <c r="BP25" s="8">
        <f t="shared" si="26"/>
        <v>2.2018069357765447E-6</v>
      </c>
      <c r="BQ25" s="8">
        <f t="shared" si="27"/>
        <v>4.4797017615055597E-10</v>
      </c>
    </row>
    <row r="26" spans="2:69" x14ac:dyDescent="0.3">
      <c r="F26">
        <v>20</v>
      </c>
      <c r="G26">
        <f t="shared" si="4"/>
        <v>293</v>
      </c>
      <c r="H26">
        <f t="shared" si="0"/>
        <v>39.607395651345605</v>
      </c>
      <c r="J26">
        <v>0.4</v>
      </c>
      <c r="K26">
        <f t="shared" si="5"/>
        <v>17883907308.792034</v>
      </c>
      <c r="L26">
        <f t="shared" si="1"/>
        <v>0.99999167299531366</v>
      </c>
      <c r="N26">
        <v>4</v>
      </c>
      <c r="O26">
        <f t="shared" si="6"/>
        <v>436653919.88920033</v>
      </c>
      <c r="P26">
        <f t="shared" si="2"/>
        <v>0.9996590100267938</v>
      </c>
      <c r="R26">
        <f t="shared" si="7"/>
        <v>436653919.88920033</v>
      </c>
      <c r="S26">
        <f t="shared" si="3"/>
        <v>0.9996590100267938</v>
      </c>
      <c r="Z26" s="26">
        <v>170</v>
      </c>
      <c r="AA26" s="8" cm="1">
        <f t="array" ref="AA26">INDEX($K$323:$K$342, COLUMN(A1))</f>
        <v>70274151.7223984</v>
      </c>
      <c r="AB26" s="8" cm="1">
        <f t="array" ref="AB26">INDEX($K$323:$K$342, COLUMN(B1))</f>
        <v>42525081.121085659</v>
      </c>
      <c r="AC26" s="8" cm="1">
        <f t="array" ref="AC26">INDEX($K$323:$K$342, COLUMN(C1))</f>
        <v>25733252.981814828</v>
      </c>
      <c r="AD26" s="8" cm="1">
        <f t="array" ref="AD26">INDEX($K$323:$K$342, COLUMN(D1))</f>
        <v>15571994.02255193</v>
      </c>
      <c r="AE26" s="8" cm="1">
        <f t="array" ref="AE26">INDEX($K$323:$K$342, COLUMN(E1))</f>
        <v>9423099.2875154037</v>
      </c>
      <c r="AF26" s="8" cm="1">
        <f t="array" ref="AF26">INDEX($K$323:$K$342, COLUMN(F1))</f>
        <v>5702211.2937994618</v>
      </c>
      <c r="AG26" s="8" cm="1">
        <f t="array" ref="AG26">INDEX($K$323:$K$342, COLUMN(G1))</f>
        <v>3450585.9109659726</v>
      </c>
      <c r="AH26" s="8" cm="1">
        <f t="array" ref="AH26">INDEX($K$323:$K$342, COLUMN(H1))</f>
        <v>2088057.1615969297</v>
      </c>
      <c r="AI26" s="8" cm="1">
        <f t="array" ref="AI26">INDEX($K$323:$K$342, COLUMN(I1))</f>
        <v>1263548.516859177</v>
      </c>
      <c r="AJ26" s="8" cm="1">
        <f t="array" ref="AJ26">INDEX($K$323:$K$342, COLUMN(J1))</f>
        <v>764612.61876374809</v>
      </c>
      <c r="AK26" s="8" cm="1">
        <f t="array" ref="AK26">INDEX($K$323:$K$342, COLUMN(K1))</f>
        <v>462690.94456775323</v>
      </c>
      <c r="AL26" s="8" cm="1">
        <f t="array" ref="AL26">INDEX($K$323:$K$342, COLUMN(L1))</f>
        <v>279988.72230376798</v>
      </c>
      <c r="AM26" s="8" cm="1">
        <f t="array" ref="AM26">INDEX($K$323:$K$342, COLUMN(M1))</f>
        <v>169429.90896554495</v>
      </c>
      <c r="AN26" s="8" cm="1">
        <f t="array" ref="AN26">INDEX($K$323:$K$342, COLUMN(N1))</f>
        <v>102527.32258597325</v>
      </c>
      <c r="AO26" s="8" cm="1">
        <f t="array" ref="AO26">INDEX($K$323:$K$342, COLUMN(O1))</f>
        <v>62042.480815980765</v>
      </c>
      <c r="AP26" s="8" cm="1">
        <f t="array" ref="AP26">INDEX($K$323:$K$342, COLUMN(P1))</f>
        <v>37543.840302408978</v>
      </c>
      <c r="AQ26" s="8" cm="1">
        <f t="array" ref="AQ26">INDEX($K$323:$K$342, COLUMN(Q1))</f>
        <v>22718.948793061842</v>
      </c>
      <c r="AR26" s="8" cm="1">
        <f t="array" ref="AR26">INDEX($K$323:$K$342, COLUMN(R1))</f>
        <v>13747.944539084529</v>
      </c>
      <c r="AS26" s="8" cm="1">
        <f t="array" ref="AS26">INDEX($K$323:$K$342, COLUMN(S1))</f>
        <v>8319.3100513288482</v>
      </c>
      <c r="AT26" s="8" cm="1">
        <f t="array" ref="AT26">INDEX($K$323:$K$342, COLUMN(T1))</f>
        <v>5034.2739988060575</v>
      </c>
      <c r="AW26" s="26">
        <v>170</v>
      </c>
      <c r="AX26" s="8">
        <f t="shared" si="8"/>
        <v>0.99788311466732316</v>
      </c>
      <c r="AY26" s="8">
        <f t="shared" si="9"/>
        <v>0.99650419126223888</v>
      </c>
      <c r="AZ26" s="8">
        <f t="shared" si="10"/>
        <v>0.99422964810198122</v>
      </c>
      <c r="BA26" s="8">
        <f t="shared" si="11"/>
        <v>0.99048226069537137</v>
      </c>
      <c r="BB26" s="8">
        <f t="shared" si="12"/>
        <v>0.9843205058923582</v>
      </c>
      <c r="BC26" s="8">
        <f t="shared" si="13"/>
        <v>0.97422189392651182</v>
      </c>
      <c r="BD26" s="8">
        <f t="shared" si="14"/>
        <v>0.95776015937022785</v>
      </c>
      <c r="BE26" s="8">
        <f t="shared" si="15"/>
        <v>0.93116397759268099</v>
      </c>
      <c r="BF26" s="8">
        <f t="shared" si="16"/>
        <v>0.88882176478485619</v>
      </c>
      <c r="BG26" s="8">
        <f t="shared" si="17"/>
        <v>0.82302780655619001</v>
      </c>
      <c r="BH26" s="8">
        <f t="shared" si="18"/>
        <v>0.72480232983398962</v>
      </c>
      <c r="BI26" s="8">
        <f t="shared" si="19"/>
        <v>0.58750027458282505</v>
      </c>
      <c r="BJ26" s="8">
        <f t="shared" si="20"/>
        <v>0.41521968804314058</v>
      </c>
      <c r="BK26" s="8">
        <f t="shared" si="21"/>
        <v>0.23398673104250717</v>
      </c>
      <c r="BL26" s="8">
        <f t="shared" si="22"/>
        <v>9.0691570367962604E-2</v>
      </c>
      <c r="BM26" s="8">
        <f t="shared" si="23"/>
        <v>1.8938416673708675E-2</v>
      </c>
      <c r="BN26" s="8">
        <f t="shared" si="24"/>
        <v>1.4231525743365599E-3</v>
      </c>
      <c r="BO26" s="8">
        <f t="shared" si="25"/>
        <v>1.9753798936315832E-5</v>
      </c>
      <c r="BP26" s="8">
        <f t="shared" si="26"/>
        <v>1.6822931859388235E-8</v>
      </c>
      <c r="BQ26" s="8">
        <f t="shared" si="27"/>
        <v>1.4224483742014584E-13</v>
      </c>
    </row>
    <row r="27" spans="2:69" x14ac:dyDescent="0.3">
      <c r="F27">
        <v>20</v>
      </c>
      <c r="G27">
        <f t="shared" si="4"/>
        <v>293</v>
      </c>
      <c r="H27">
        <f t="shared" si="0"/>
        <v>39.607395651345605</v>
      </c>
      <c r="J27">
        <v>0.5</v>
      </c>
      <c r="K27">
        <f t="shared" si="5"/>
        <v>10822110127.669603</v>
      </c>
      <c r="L27">
        <f t="shared" si="1"/>
        <v>0.99998623937719866</v>
      </c>
      <c r="N27">
        <v>5</v>
      </c>
      <c r="O27">
        <f t="shared" si="6"/>
        <v>140632748.03305167</v>
      </c>
      <c r="P27">
        <f t="shared" si="2"/>
        <v>0.9989416321439859</v>
      </c>
      <c r="R27">
        <f t="shared" si="7"/>
        <v>140632748.03305167</v>
      </c>
      <c r="S27">
        <f t="shared" si="3"/>
        <v>0.9989416321439859</v>
      </c>
      <c r="Z27" s="26">
        <v>180</v>
      </c>
      <c r="AA27" s="8" cm="1">
        <f t="array" ref="AA27">INDEX($K$343:$K$362, COLUMN(A1))</f>
        <v>51861311.597319484</v>
      </c>
      <c r="AB27" s="8" cm="1">
        <f t="array" ref="AB27">INDEX($K$343:$K$362, COLUMN(B1))</f>
        <v>31382897.248391613</v>
      </c>
      <c r="AC27" s="8" cm="1">
        <f t="array" ref="AC27">INDEX($K$343:$K$362, COLUMN(C1))</f>
        <v>18990769.985732701</v>
      </c>
      <c r="AD27" s="8" cm="1">
        <f t="array" ref="AD27">INDEX($K$343:$K$362, COLUMN(D1))</f>
        <v>11491907.25752669</v>
      </c>
      <c r="AE27" s="8" cm="1">
        <f t="array" ref="AE27">INDEX($K$343:$K$362, COLUMN(E1))</f>
        <v>6954111.5244306047</v>
      </c>
      <c r="AF27" s="8" cm="1">
        <f t="array" ref="AF27">INDEX($K$343:$K$362, COLUMN(F1))</f>
        <v>4208149.7884126343</v>
      </c>
      <c r="AG27" s="8" cm="1">
        <f t="array" ref="AG27">INDEX($K$343:$K$362, COLUMN(G1))</f>
        <v>2546482.6929371483</v>
      </c>
      <c r="AH27" s="8" cm="1">
        <f t="array" ref="AH27">INDEX($K$343:$K$362, COLUMN(H1))</f>
        <v>1540956.1045768966</v>
      </c>
      <c r="AI27" s="8" cm="1">
        <f t="array" ref="AI27">INDEX($K$343:$K$362, COLUMN(I1))</f>
        <v>932480.60268337023</v>
      </c>
      <c r="AJ27" s="8" cm="1">
        <f t="array" ref="AJ27">INDEX($K$343:$K$362, COLUMN(J1))</f>
        <v>564273.0975905949</v>
      </c>
      <c r="AK27" s="8" cm="1">
        <f t="array" ref="AK27">INDEX($K$343:$K$362, COLUMN(K1))</f>
        <v>341459.25153641071</v>
      </c>
      <c r="AL27" s="8" cm="1">
        <f t="array" ref="AL27">INDEX($K$343:$K$362, COLUMN(L1))</f>
        <v>206627.64352519304</v>
      </c>
      <c r="AM27" s="8" cm="1">
        <f t="array" ref="AM27">INDEX($K$343:$K$362, COLUMN(M1))</f>
        <v>125036.83199874152</v>
      </c>
      <c r="AN27" s="8" cm="1">
        <f t="array" ref="AN27">INDEX($K$343:$K$362, COLUMN(N1))</f>
        <v>75663.687053447618</v>
      </c>
      <c r="AO27" s="8" cm="1">
        <f t="array" ref="AO27">INDEX($K$343:$K$362, COLUMN(O1))</f>
        <v>45786.457054347498</v>
      </c>
      <c r="AP27" s="8" cm="1">
        <f t="array" ref="AP27">INDEX($K$343:$K$362, COLUMN(P1))</f>
        <v>27706.81328427398</v>
      </c>
      <c r="AQ27" s="8" cm="1">
        <f t="array" ref="AQ27">INDEX($K$343:$K$362, COLUMN(Q1))</f>
        <v>16766.256918687046</v>
      </c>
      <c r="AR27" s="8" cm="1">
        <f t="array" ref="AR27">INDEX($K$343:$K$362, COLUMN(R1))</f>
        <v>10145.785016098318</v>
      </c>
      <c r="AS27" s="8" cm="1">
        <f t="array" ref="AS27">INDEX($K$343:$K$362, COLUMN(S1))</f>
        <v>6139.5309693814725</v>
      </c>
      <c r="AT27" s="8" cm="1">
        <f t="array" ref="AT27">INDEX($K$343:$K$362, COLUMN(T1))</f>
        <v>3715.2216870538114</v>
      </c>
      <c r="AW27" s="26">
        <v>180</v>
      </c>
      <c r="AX27" s="8">
        <f t="shared" si="8"/>
        <v>0.99713261412626564</v>
      </c>
      <c r="AY27" s="8">
        <f t="shared" si="9"/>
        <v>0.99526598118067822</v>
      </c>
      <c r="AZ27" s="8">
        <f t="shared" si="10"/>
        <v>0.99218896179187177</v>
      </c>
      <c r="BA27" s="8">
        <f t="shared" si="11"/>
        <v>0.98712491777630007</v>
      </c>
      <c r="BB27" s="8">
        <f t="shared" si="12"/>
        <v>0.97881299650276121</v>
      </c>
      <c r="BC27" s="8">
        <f t="shared" si="13"/>
        <v>0.96523037636712516</v>
      </c>
      <c r="BD27" s="8">
        <f t="shared" si="14"/>
        <v>0.94319647740651635</v>
      </c>
      <c r="BE27" s="8">
        <f t="shared" si="15"/>
        <v>0.90788160556598019</v>
      </c>
      <c r="BF27" s="8">
        <f t="shared" si="16"/>
        <v>0.85239686726968966</v>
      </c>
      <c r="BG27" s="8">
        <f t="shared" si="17"/>
        <v>0.76803900332043251</v>
      </c>
      <c r="BH27" s="8">
        <f t="shared" si="18"/>
        <v>0.64653485141634237</v>
      </c>
      <c r="BI27" s="8">
        <f t="shared" si="19"/>
        <v>0.48640350999408788</v>
      </c>
      <c r="BJ27" s="8">
        <f t="shared" si="20"/>
        <v>0.30391444076351676</v>
      </c>
      <c r="BK27" s="8">
        <f t="shared" si="21"/>
        <v>0.13971044749693654</v>
      </c>
      <c r="BL27" s="8">
        <f t="shared" si="22"/>
        <v>3.867777483858495E-2</v>
      </c>
      <c r="BM27" s="8">
        <f t="shared" si="23"/>
        <v>4.6316076363538804E-3</v>
      </c>
      <c r="BN27" s="8">
        <f t="shared" si="24"/>
        <v>1.3884871313081287E-4</v>
      </c>
      <c r="BO27" s="8">
        <f t="shared" si="25"/>
        <v>4.2210298489772641E-7</v>
      </c>
      <c r="BP27" s="8">
        <f t="shared" si="26"/>
        <v>2.9227105824337782E-11</v>
      </c>
      <c r="BQ27" s="8">
        <f t="shared" si="27"/>
        <v>3.9070645204172242E-18</v>
      </c>
    </row>
    <row r="28" spans="2:69" x14ac:dyDescent="0.3">
      <c r="F28">
        <v>20</v>
      </c>
      <c r="G28">
        <f t="shared" si="4"/>
        <v>293</v>
      </c>
      <c r="H28">
        <f t="shared" si="0"/>
        <v>39.607395651345605</v>
      </c>
      <c r="J28">
        <v>0.6</v>
      </c>
      <c r="K28">
        <f t="shared" si="5"/>
        <v>6548796389.5804672</v>
      </c>
      <c r="L28">
        <f t="shared" si="1"/>
        <v>0.99997726020203881</v>
      </c>
      <c r="N28">
        <v>6</v>
      </c>
      <c r="O28">
        <f t="shared" si="6"/>
        <v>55725195.975543536</v>
      </c>
      <c r="P28">
        <f t="shared" si="2"/>
        <v>0.99733116792772247</v>
      </c>
      <c r="R28">
        <f t="shared" si="7"/>
        <v>55725195.975543536</v>
      </c>
      <c r="S28">
        <f t="shared" si="3"/>
        <v>0.99733116792772247</v>
      </c>
      <c r="Z28" s="26">
        <v>190</v>
      </c>
      <c r="AA28" s="8" cm="1">
        <f t="array" ref="AA28">INDEX($K$363:$K$382, COLUMN(A1))</f>
        <v>38778522.28812144</v>
      </c>
      <c r="AB28" s="8" cm="1">
        <f t="array" ref="AB28">INDEX($K$363:$K$382, COLUMN(B1))</f>
        <v>23466093.373455685</v>
      </c>
      <c r="AC28" s="8" cm="1">
        <f t="array" ref="AC28">INDEX($K$363:$K$382, COLUMN(C1))</f>
        <v>14200065.028790878</v>
      </c>
      <c r="AD28" s="8" cm="1">
        <f t="array" ref="AD28">INDEX($K$363:$K$382, COLUMN(D1))</f>
        <v>8592902.2616939899</v>
      </c>
      <c r="AE28" s="8" cm="1">
        <f t="array" ref="AE28">INDEX($K$363:$K$382, COLUMN(E1))</f>
        <v>5199833.1788845966</v>
      </c>
      <c r="AF28" s="8" cm="1">
        <f t="array" ref="AF28">INDEX($K$363:$K$382, COLUMN(F1))</f>
        <v>3146581.2440067041</v>
      </c>
      <c r="AG28" s="8" cm="1">
        <f t="array" ref="AG28">INDEX($K$363:$K$382, COLUMN(G1))</f>
        <v>1904094.4554414751</v>
      </c>
      <c r="AH28" s="8" cm="1">
        <f t="array" ref="AH28">INDEX($K$363:$K$382, COLUMN(H1))</f>
        <v>1152226.9454026022</v>
      </c>
      <c r="AI28" s="8" cm="1">
        <f t="array" ref="AI28">INDEX($K$363:$K$382, COLUMN(I1))</f>
        <v>697248.46365565062</v>
      </c>
      <c r="AJ28" s="8" cm="1">
        <f t="array" ref="AJ28">INDEX($K$363:$K$382, COLUMN(J1))</f>
        <v>421926.79316338757</v>
      </c>
      <c r="AK28" s="8" cm="1">
        <f t="array" ref="AK28">INDEX($K$363:$K$382, COLUMN(K1))</f>
        <v>255321.06281851846</v>
      </c>
      <c r="AL28" s="8" cm="1">
        <f t="array" ref="AL28">INDEX($K$363:$K$382, COLUMN(L1))</f>
        <v>154502.73880458236</v>
      </c>
      <c r="AM28" s="8" cm="1">
        <f t="array" ref="AM28">INDEX($K$363:$K$382, COLUMN(M1))</f>
        <v>93494.426329740323</v>
      </c>
      <c r="AN28" s="8" cm="1">
        <f t="array" ref="AN28">INDEX($K$363:$K$382, COLUMN(N1))</f>
        <v>56576.393547193249</v>
      </c>
      <c r="AO28" s="8" cm="1">
        <f t="array" ref="AO28">INDEX($K$363:$K$382, COLUMN(O1))</f>
        <v>34236.140403897924</v>
      </c>
      <c r="AP28" s="8" cm="1">
        <f t="array" ref="AP28">INDEX($K$363:$K$382, COLUMN(P1))</f>
        <v>20717.356414344347</v>
      </c>
      <c r="AQ28" s="8" cm="1">
        <f t="array" ref="AQ28">INDEX($K$363:$K$382, COLUMN(Q1))</f>
        <v>12536.718559259902</v>
      </c>
      <c r="AR28" s="8" cm="1">
        <f t="array" ref="AR28">INDEX($K$363:$K$382, COLUMN(R1))</f>
        <v>7586.3594317115676</v>
      </c>
      <c r="AS28" s="8" cm="1">
        <f t="array" ref="AS28">INDEX($K$363:$K$382, COLUMN(S1))</f>
        <v>4590.7427174880168</v>
      </c>
      <c r="AT28" s="8" cm="1">
        <f t="array" ref="AT28">INDEX($K$363:$K$382, COLUMN(T1))</f>
        <v>2778.001607737488</v>
      </c>
      <c r="AW28" s="26">
        <v>190</v>
      </c>
      <c r="AX28" s="8">
        <f t="shared" si="8"/>
        <v>0.99616709429850114</v>
      </c>
      <c r="AY28" s="8">
        <f t="shared" si="9"/>
        <v>0.99367391669089555</v>
      </c>
      <c r="AZ28" s="8">
        <f t="shared" si="10"/>
        <v>0.98956752382684043</v>
      </c>
      <c r="BA28" s="8">
        <f t="shared" si="11"/>
        <v>0.9828187284316986</v>
      </c>
      <c r="BB28" s="8">
        <f t="shared" si="12"/>
        <v>0.97176683953542931</v>
      </c>
      <c r="BC28" s="8">
        <f t="shared" si="13"/>
        <v>0.95377493172698558</v>
      </c>
      <c r="BD28" s="8">
        <f t="shared" si="14"/>
        <v>0.92476982915653816</v>
      </c>
      <c r="BE28" s="8">
        <f t="shared" si="15"/>
        <v>0.87875831654652647</v>
      </c>
      <c r="BF28" s="8">
        <f t="shared" si="16"/>
        <v>0.80768560442039639</v>
      </c>
      <c r="BG28" s="8">
        <f t="shared" si="17"/>
        <v>0.7026107605274029</v>
      </c>
      <c r="BH28" s="8">
        <f t="shared" si="18"/>
        <v>0.55807292910622608</v>
      </c>
      <c r="BI28" s="8">
        <f t="shared" si="19"/>
        <v>0.3814153238249649</v>
      </c>
      <c r="BJ28" s="8">
        <f t="shared" si="20"/>
        <v>0.20335089951353366</v>
      </c>
      <c r="BK28" s="8">
        <f t="shared" si="21"/>
        <v>7.1920550916820494E-2</v>
      </c>
      <c r="BL28" s="8">
        <f t="shared" si="22"/>
        <v>1.2909531277420682E-2</v>
      </c>
      <c r="BM28" s="8">
        <f t="shared" si="23"/>
        <v>7.5546598596423992E-4</v>
      </c>
      <c r="BN28" s="8">
        <f t="shared" si="24"/>
        <v>6.936546838554158E-6</v>
      </c>
      <c r="BO28" s="8">
        <f t="shared" si="25"/>
        <v>2.9840961347180906E-9</v>
      </c>
      <c r="BP28" s="8">
        <f t="shared" si="26"/>
        <v>8.1627490403012555E-15</v>
      </c>
      <c r="BQ28" s="8">
        <f t="shared" si="27"/>
        <v>5.2339267510374958E-24</v>
      </c>
    </row>
    <row r="29" spans="2:69" x14ac:dyDescent="0.3">
      <c r="F29">
        <v>20</v>
      </c>
      <c r="G29">
        <f t="shared" si="4"/>
        <v>293</v>
      </c>
      <c r="H29">
        <f t="shared" si="0"/>
        <v>39.607395651345605</v>
      </c>
      <c r="J29">
        <v>0.7</v>
      </c>
      <c r="K29">
        <f t="shared" si="5"/>
        <v>3962880958.1719961</v>
      </c>
      <c r="L29">
        <f t="shared" si="1"/>
        <v>0.99996242198453722</v>
      </c>
      <c r="N29">
        <v>7</v>
      </c>
      <c r="O29">
        <f t="shared" si="6"/>
        <v>25476277.736666203</v>
      </c>
      <c r="P29">
        <f t="shared" si="2"/>
        <v>0.99417161340964377</v>
      </c>
      <c r="R29">
        <f t="shared" si="7"/>
        <v>25476277.736666203</v>
      </c>
      <c r="S29">
        <f t="shared" si="3"/>
        <v>0.99417161340964377</v>
      </c>
      <c r="Z29" s="26">
        <v>200</v>
      </c>
      <c r="AA29" s="8" cm="1">
        <f t="array" ref="AA29">INDEX($K$383:$K$402, COLUMN(A1))</f>
        <v>29354681.749101602</v>
      </c>
      <c r="AB29" s="8" cm="1">
        <f t="array" ref="AB29">INDEX($K$383:$K$402, COLUMN(B1))</f>
        <v>17763433.525250591</v>
      </c>
      <c r="AC29" s="8" cm="1">
        <f t="array" ref="AC29">INDEX($K$383:$K$402, COLUMN(C1))</f>
        <v>10749207.683563244</v>
      </c>
      <c r="AD29" s="8" cm="1">
        <f t="array" ref="AD29">INDEX($K$383:$K$402, COLUMN(D1))</f>
        <v>6504680.8467590492</v>
      </c>
      <c r="AE29" s="8" cm="1">
        <f t="array" ref="AE29">INDEX($K$383:$K$402, COLUMN(E1))</f>
        <v>3936185.2672073804</v>
      </c>
      <c r="AF29" s="8" cm="1">
        <f t="array" ref="AF29">INDEX($K$383:$K$402, COLUMN(F1))</f>
        <v>2381908.4783383468</v>
      </c>
      <c r="AG29" s="8" cm="1">
        <f t="array" ref="AG29">INDEX($K$383:$K$402, COLUMN(G1))</f>
        <v>1441367.1141057068</v>
      </c>
      <c r="AH29" s="8" cm="1">
        <f t="array" ref="AH29">INDEX($K$383:$K$402, COLUMN(H1))</f>
        <v>872216.19827926054</v>
      </c>
      <c r="AI29" s="8" cm="1">
        <f t="array" ref="AI29">INDEX($K$383:$K$402, COLUMN(I1))</f>
        <v>527805.22678480775</v>
      </c>
      <c r="AJ29" s="8" cm="1">
        <f t="array" ref="AJ29">INDEX($K$383:$K$402, COLUMN(J1))</f>
        <v>319391.4054462093</v>
      </c>
      <c r="AK29" s="8" cm="1">
        <f t="array" ref="AK29">INDEX($K$383:$K$402, COLUMN(K1))</f>
        <v>193273.7015400868</v>
      </c>
      <c r="AL29" s="8" cm="1">
        <f t="array" ref="AL29">INDEX($K$383:$K$402, COLUMN(L1))</f>
        <v>116955.94518211835</v>
      </c>
      <c r="AM29" s="8" cm="1">
        <f t="array" ref="AM29">INDEX($K$383:$K$402, COLUMN(M1))</f>
        <v>70773.690390596501</v>
      </c>
      <c r="AN29" s="8" cm="1">
        <f t="array" ref="AN29">INDEX($K$383:$K$402, COLUMN(N1))</f>
        <v>42827.367550271782</v>
      </c>
      <c r="AO29" s="8" cm="1">
        <f t="array" ref="AO29">INDEX($K$383:$K$402, COLUMN(O1))</f>
        <v>25916.175928700337</v>
      </c>
      <c r="AP29" s="8" cm="1">
        <f t="array" ref="AP29">INDEX($K$383:$K$402, COLUMN(P1))</f>
        <v>15682.686403243239</v>
      </c>
      <c r="AQ29" s="8" cm="1">
        <f t="array" ref="AQ29">INDEX($K$383:$K$402, COLUMN(Q1))</f>
        <v>9490.08269966642</v>
      </c>
      <c r="AR29" s="8" cm="1">
        <f t="array" ref="AR29">INDEX($K$383:$K$402, COLUMN(R1))</f>
        <v>5742.7450457647765</v>
      </c>
      <c r="AS29" s="8" cm="1">
        <f t="array" ref="AS29">INDEX($K$383:$K$402, COLUMN(S1))</f>
        <v>3475.1141485642925</v>
      </c>
      <c r="AT29" s="8" cm="1">
        <f t="array" ref="AT29">INDEX($K$383:$K$402, COLUMN(T1))</f>
        <v>2102.8999632254158</v>
      </c>
      <c r="AW29" s="26">
        <v>200</v>
      </c>
      <c r="AX29" s="8">
        <f t="shared" si="8"/>
        <v>0.99493972054342461</v>
      </c>
      <c r="AY29" s="8">
        <f t="shared" si="9"/>
        <v>0.99165152930079881</v>
      </c>
      <c r="AZ29" s="8">
        <f t="shared" si="10"/>
        <v>0.98624148127259992</v>
      </c>
      <c r="BA29" s="8">
        <f t="shared" si="11"/>
        <v>0.97736580311306398</v>
      </c>
      <c r="BB29" s="8">
        <f t="shared" si="12"/>
        <v>0.96287316406795143</v>
      </c>
      <c r="BC29" s="8">
        <f t="shared" si="13"/>
        <v>0.93939305926537664</v>
      </c>
      <c r="BD29" s="8">
        <f t="shared" si="14"/>
        <v>0.901839621827774</v>
      </c>
      <c r="BE29" s="8">
        <f t="shared" si="15"/>
        <v>0.84304285588878247</v>
      </c>
      <c r="BF29" s="8">
        <f t="shared" si="16"/>
        <v>0.75416090166139071</v>
      </c>
      <c r="BG29" s="8">
        <f t="shared" si="17"/>
        <v>0.6273430469429313</v>
      </c>
      <c r="BH29" s="8">
        <f t="shared" si="18"/>
        <v>0.46277536311131218</v>
      </c>
      <c r="BI29" s="8">
        <f t="shared" si="19"/>
        <v>0.27990641684129208</v>
      </c>
      <c r="BJ29" s="8">
        <f t="shared" si="20"/>
        <v>0.12194663468977042</v>
      </c>
      <c r="BK29" s="8">
        <f t="shared" si="21"/>
        <v>3.0893303907346056E-2</v>
      </c>
      <c r="BL29" s="8">
        <f t="shared" si="22"/>
        <v>3.1948404471189682E-3</v>
      </c>
      <c r="BM29" s="8">
        <f t="shared" si="23"/>
        <v>7.5165208170580589E-5</v>
      </c>
      <c r="BN29" s="8">
        <f t="shared" si="24"/>
        <v>1.5310054960652985E-7</v>
      </c>
      <c r="BO29" s="8">
        <f t="shared" si="25"/>
        <v>5.4694149705944206E-12</v>
      </c>
      <c r="BP29" s="8">
        <f t="shared" si="26"/>
        <v>2.4494124361565859E-19</v>
      </c>
      <c r="BQ29" s="8">
        <f t="shared" si="27"/>
        <v>1.7570655785800454E-31</v>
      </c>
    </row>
    <row r="30" spans="2:69" x14ac:dyDescent="0.3">
      <c r="F30">
        <v>20</v>
      </c>
      <c r="G30">
        <f t="shared" si="4"/>
        <v>293</v>
      </c>
      <c r="H30">
        <f t="shared" si="0"/>
        <v>39.607395651345605</v>
      </c>
      <c r="J30">
        <v>0.8</v>
      </c>
      <c r="K30">
        <f t="shared" si="5"/>
        <v>2398062873.6035948</v>
      </c>
      <c r="L30">
        <f t="shared" si="1"/>
        <v>0.99993790180492781</v>
      </c>
      <c r="N30">
        <v>8</v>
      </c>
      <c r="O30">
        <f t="shared" si="6"/>
        <v>12932654.137398124</v>
      </c>
      <c r="P30">
        <f t="shared" si="2"/>
        <v>0.98855100659909145</v>
      </c>
      <c r="R30">
        <f t="shared" si="7"/>
        <v>12932654.137398124</v>
      </c>
      <c r="S30">
        <f t="shared" si="3"/>
        <v>0.98855100659909145</v>
      </c>
    </row>
    <row r="31" spans="2:69" x14ac:dyDescent="0.3">
      <c r="F31">
        <v>20</v>
      </c>
      <c r="G31">
        <f t="shared" si="4"/>
        <v>293</v>
      </c>
      <c r="H31">
        <f t="shared" si="0"/>
        <v>39.607395651345605</v>
      </c>
      <c r="J31">
        <v>0.9</v>
      </c>
      <c r="K31">
        <f t="shared" si="5"/>
        <v>1451142642.5507936</v>
      </c>
      <c r="L31">
        <f t="shared" si="1"/>
        <v>0.99989738268684436</v>
      </c>
      <c r="N31">
        <v>9</v>
      </c>
      <c r="O31">
        <f t="shared" si="6"/>
        <v>7111575.838597063</v>
      </c>
      <c r="P31">
        <f t="shared" si="2"/>
        <v>0.97927722347602908</v>
      </c>
      <c r="R31">
        <f t="shared" si="7"/>
        <v>7111575.838597063</v>
      </c>
      <c r="S31">
        <f t="shared" si="3"/>
        <v>0.97927722347602908</v>
      </c>
    </row>
    <row r="32" spans="2:69" x14ac:dyDescent="0.3">
      <c r="F32">
        <v>20</v>
      </c>
      <c r="G32">
        <f t="shared" si="4"/>
        <v>293</v>
      </c>
      <c r="H32">
        <f t="shared" si="0"/>
        <v>39.607395651345605</v>
      </c>
      <c r="J32">
        <v>1</v>
      </c>
      <c r="K32">
        <f t="shared" si="5"/>
        <v>878131675.44888914</v>
      </c>
      <c r="L32">
        <f t="shared" si="1"/>
        <v>0.99983042705620928</v>
      </c>
      <c r="N32">
        <v>10</v>
      </c>
      <c r="O32">
        <f t="shared" si="6"/>
        <v>4165208.6649418175</v>
      </c>
      <c r="P32">
        <f t="shared" si="2"/>
        <v>0.9648782891668346</v>
      </c>
      <c r="R32">
        <f t="shared" si="7"/>
        <v>4165208.6649418175</v>
      </c>
      <c r="S32">
        <f t="shared" si="3"/>
        <v>0.9648782891668346</v>
      </c>
    </row>
    <row r="33" spans="6:69" x14ac:dyDescent="0.3">
      <c r="F33">
        <v>20</v>
      </c>
      <c r="G33">
        <f t="shared" si="4"/>
        <v>293</v>
      </c>
      <c r="H33">
        <f t="shared" si="0"/>
        <v>39.607395651345605</v>
      </c>
      <c r="J33">
        <v>1.1000000000000001</v>
      </c>
      <c r="K33">
        <f t="shared" si="5"/>
        <v>531384866.52919197</v>
      </c>
      <c r="L33">
        <f t="shared" si="1"/>
        <v>0.99971979041181191</v>
      </c>
      <c r="N33">
        <v>11</v>
      </c>
      <c r="O33">
        <f t="shared" si="6"/>
        <v>2567258.1637524618</v>
      </c>
      <c r="P33">
        <f t="shared" si="2"/>
        <v>0.9436429538700154</v>
      </c>
      <c r="R33">
        <f t="shared" si="7"/>
        <v>2567258.1637524618</v>
      </c>
      <c r="S33">
        <f t="shared" si="3"/>
        <v>0.9436429538700154</v>
      </c>
    </row>
    <row r="34" spans="6:69" x14ac:dyDescent="0.3">
      <c r="F34">
        <v>20</v>
      </c>
      <c r="G34">
        <f t="shared" si="4"/>
        <v>293</v>
      </c>
      <c r="H34">
        <f t="shared" si="0"/>
        <v>39.607395651345605</v>
      </c>
      <c r="J34">
        <v>1.2</v>
      </c>
      <c r="K34">
        <f t="shared" si="5"/>
        <v>321557557.10771251</v>
      </c>
      <c r="L34">
        <f t="shared" si="1"/>
        <v>0.99953698640241706</v>
      </c>
      <c r="N34">
        <v>12</v>
      </c>
      <c r="O34">
        <f t="shared" si="6"/>
        <v>1650448.223328219</v>
      </c>
      <c r="P34">
        <f t="shared" si="2"/>
        <v>0.91372097381959672</v>
      </c>
      <c r="R34">
        <f t="shared" si="7"/>
        <v>1650448.223328219</v>
      </c>
      <c r="S34">
        <f t="shared" si="3"/>
        <v>0.91372097381959672</v>
      </c>
      <c r="AV34" t="s">
        <v>120</v>
      </c>
    </row>
    <row r="35" spans="6:69" x14ac:dyDescent="0.3">
      <c r="F35">
        <v>20</v>
      </c>
      <c r="G35">
        <f t="shared" si="4"/>
        <v>293</v>
      </c>
      <c r="H35">
        <f t="shared" si="0"/>
        <v>39.607395651345605</v>
      </c>
      <c r="J35">
        <v>1.3</v>
      </c>
      <c r="K35">
        <f t="shared" si="5"/>
        <v>194584507.47467682</v>
      </c>
      <c r="L35">
        <f t="shared" si="1"/>
        <v>0.99923496977988757</v>
      </c>
      <c r="N35">
        <v>13</v>
      </c>
      <c r="O35">
        <f t="shared" si="6"/>
        <v>1099260.9139619032</v>
      </c>
      <c r="P35">
        <f t="shared" si="2"/>
        <v>0.87330287985655186</v>
      </c>
      <c r="R35">
        <f t="shared" si="7"/>
        <v>1099260.9139619032</v>
      </c>
      <c r="S35">
        <f t="shared" si="3"/>
        <v>0.87330287985655186</v>
      </c>
      <c r="Y35" t="s">
        <v>119</v>
      </c>
    </row>
    <row r="36" spans="6:69" x14ac:dyDescent="0.3">
      <c r="F36">
        <v>20</v>
      </c>
      <c r="G36">
        <f t="shared" si="4"/>
        <v>293</v>
      </c>
      <c r="H36">
        <f t="shared" si="0"/>
        <v>39.607395651345605</v>
      </c>
      <c r="J36">
        <v>1.4</v>
      </c>
      <c r="K36">
        <f t="shared" si="5"/>
        <v>117749154.7383524</v>
      </c>
      <c r="L36">
        <f t="shared" si="1"/>
        <v>0.99873607696985722</v>
      </c>
      <c r="N36">
        <v>14</v>
      </c>
      <c r="O36">
        <f t="shared" si="6"/>
        <v>754546.96195147734</v>
      </c>
      <c r="P36">
        <f t="shared" si="2"/>
        <v>0.82089221666734546</v>
      </c>
      <c r="R36">
        <f t="shared" si="7"/>
        <v>754546.96195147734</v>
      </c>
      <c r="S36">
        <f t="shared" si="3"/>
        <v>0.82089221666734546</v>
      </c>
      <c r="Z36" s="23" t="s">
        <v>96</v>
      </c>
      <c r="AA36" s="24">
        <v>1</v>
      </c>
      <c r="AB36" s="24">
        <v>2</v>
      </c>
      <c r="AC36" s="24">
        <v>3</v>
      </c>
      <c r="AD36" s="24">
        <v>4</v>
      </c>
      <c r="AE36" s="24">
        <v>5</v>
      </c>
      <c r="AF36" s="24">
        <v>6</v>
      </c>
      <c r="AG36" s="24">
        <v>7</v>
      </c>
      <c r="AH36" s="24">
        <v>8</v>
      </c>
      <c r="AI36" s="24">
        <v>9</v>
      </c>
      <c r="AJ36" s="24">
        <v>10</v>
      </c>
      <c r="AK36" s="24">
        <v>11</v>
      </c>
      <c r="AL36" s="24">
        <v>12</v>
      </c>
      <c r="AM36" s="24">
        <v>13</v>
      </c>
      <c r="AN36" s="24">
        <v>14</v>
      </c>
      <c r="AO36" s="24">
        <v>15</v>
      </c>
      <c r="AP36" s="24">
        <v>16</v>
      </c>
      <c r="AQ36" s="24">
        <v>17</v>
      </c>
      <c r="AR36" s="24">
        <v>18</v>
      </c>
      <c r="AS36" s="24">
        <v>19</v>
      </c>
      <c r="AT36" s="24">
        <v>20</v>
      </c>
      <c r="AW36" s="22" t="s">
        <v>96</v>
      </c>
      <c r="AX36" s="21">
        <v>1</v>
      </c>
      <c r="AY36" s="21">
        <v>2</v>
      </c>
      <c r="AZ36" s="21">
        <v>3</v>
      </c>
      <c r="BA36" s="21">
        <v>4</v>
      </c>
      <c r="BB36" s="21">
        <v>5</v>
      </c>
      <c r="BC36" s="21">
        <v>6</v>
      </c>
      <c r="BD36" s="21">
        <v>7</v>
      </c>
      <c r="BE36" s="21">
        <v>8</v>
      </c>
      <c r="BF36" s="21">
        <v>9</v>
      </c>
      <c r="BG36" s="21">
        <v>10</v>
      </c>
      <c r="BH36" s="21">
        <v>11</v>
      </c>
      <c r="BI36" s="21">
        <v>12</v>
      </c>
      <c r="BJ36" s="21">
        <v>13</v>
      </c>
      <c r="BK36" s="21">
        <v>14</v>
      </c>
      <c r="BL36" s="21">
        <v>15</v>
      </c>
      <c r="BM36" s="21">
        <v>16</v>
      </c>
      <c r="BN36" s="21">
        <v>17</v>
      </c>
      <c r="BO36" s="21">
        <v>18</v>
      </c>
      <c r="BP36" s="21">
        <v>19</v>
      </c>
      <c r="BQ36" s="21">
        <v>20</v>
      </c>
    </row>
    <row r="37" spans="6:69" x14ac:dyDescent="0.3">
      <c r="F37">
        <v>20</v>
      </c>
      <c r="G37">
        <f t="shared" si="4"/>
        <v>293</v>
      </c>
      <c r="H37">
        <f t="shared" si="0"/>
        <v>39.607395651345605</v>
      </c>
      <c r="J37">
        <v>1.5</v>
      </c>
      <c r="K37">
        <f t="shared" si="5"/>
        <v>71253686.233991608</v>
      </c>
      <c r="L37">
        <f t="shared" si="1"/>
        <v>0.9979121853894799</v>
      </c>
      <c r="N37">
        <v>15</v>
      </c>
      <c r="O37">
        <f t="shared" si="6"/>
        <v>531558.42318285326</v>
      </c>
      <c r="P37">
        <f t="shared" si="2"/>
        <v>0.75566482711538563</v>
      </c>
      <c r="R37">
        <f t="shared" si="7"/>
        <v>531558.42318285326</v>
      </c>
      <c r="S37">
        <f t="shared" si="3"/>
        <v>0.75566482711538563</v>
      </c>
      <c r="Z37" s="25">
        <v>10</v>
      </c>
      <c r="AA37" cm="1">
        <f t="array" ref="AA37">INDEX($O$3:$O$22, COLUMN(A1))</f>
        <v>824087092491.01904</v>
      </c>
      <c r="AB37" cm="1">
        <f t="array" ref="AB37">INDEX($O$3:$O$22, COLUMN(B1))</f>
        <v>24407506404.579403</v>
      </c>
      <c r="AC37" cm="1">
        <f t="array" ref="AC37">INDEX($O$3:$O$22, COLUMN(C1))</f>
        <v>3114853699.2743506</v>
      </c>
      <c r="AD37" cm="1">
        <f t="array" ref="AD37">INDEX($O$3:$O$22, COLUMN(D1))</f>
        <v>722892488.32771516</v>
      </c>
      <c r="AE37" cm="1">
        <f t="array" ref="AE37">INDEX($O$3:$O$22, COLUMN(E1))</f>
        <v>232821354.70528662</v>
      </c>
      <c r="AF37" cm="1">
        <f t="array" ref="AF37">INDEX($O$3:$O$22, COLUMN(F1))</f>
        <v>92254583.656393185</v>
      </c>
      <c r="AG37" cm="1">
        <f t="array" ref="AG37">INDEX($O$3:$O$22, COLUMN(G1))</f>
        <v>42176673.487918675</v>
      </c>
      <c r="AH37" cm="1">
        <f t="array" ref="AH37">INDEX($O$3:$O$22, COLUMN(H1))</f>
        <v>21410362.083632983</v>
      </c>
      <c r="AI37" cm="1">
        <f t="array" ref="AI37">INDEX($O$3:$O$22, COLUMN(I1))</f>
        <v>11773408.000549216</v>
      </c>
      <c r="AJ37" cm="1">
        <f t="array" ref="AJ37">INDEX($O$3:$O$22, COLUMN(J1))</f>
        <v>6895616.6864778921</v>
      </c>
      <c r="AK37" cm="1">
        <f t="array" ref="AK37">INDEX($O$3:$O$22, COLUMN(K1))</f>
        <v>4250165.9956369447</v>
      </c>
      <c r="AL37" cm="1">
        <f t="array" ref="AL37">INDEX($O$3:$O$22, COLUMN(L1))</f>
        <v>2732362.1034262958</v>
      </c>
      <c r="AM37" cm="1">
        <f t="array" ref="AM37">INDEX($O$3:$O$22, COLUMN(M1))</f>
        <v>1819856.4611923283</v>
      </c>
      <c r="AN37" cm="1">
        <f t="array" ref="AN37">INDEX($O$3:$O$22, COLUMN(N1))</f>
        <v>1249173.1003436982</v>
      </c>
      <c r="AO37" cm="1">
        <f t="array" ref="AO37">INDEX($O$3:$O$22, COLUMN(O1))</f>
        <v>880009.48514034681</v>
      </c>
      <c r="AP37" cm="1">
        <f t="array" ref="AP37">INDEX($O$3:$O$22, COLUMN(P1))</f>
        <v>634124.17745922983</v>
      </c>
      <c r="AQ37" cm="1">
        <f t="array" ref="AQ37">INDEX($O$3:$O$22, COLUMN(Q1))</f>
        <v>466113.58261728671</v>
      </c>
      <c r="AR37" cm="1">
        <f t="array" ref="AR37">INDEX($O$3:$O$22, COLUMN(R1))</f>
        <v>348700.43930491939</v>
      </c>
      <c r="AS37" cm="1">
        <f t="array" ref="AS37">INDEX($O$3:$O$22, COLUMN(S1))</f>
        <v>264990.05692363868</v>
      </c>
      <c r="AT37" cm="1">
        <f t="array" ref="AT37">INDEX($O$3:$O$22, COLUMN(T1))</f>
        <v>204231.82206384139</v>
      </c>
      <c r="AW37" s="26">
        <v>10</v>
      </c>
      <c r="AX37" s="8">
        <f t="shared" ref="AX37:AX56" si="28">EXP(-t/AA37)</f>
        <v>0.99999981929096105</v>
      </c>
      <c r="AY37" s="8">
        <f t="shared" ref="AY37:AY56" si="29">EXP(-t/AB37)</f>
        <v>0.99999389861695731</v>
      </c>
      <c r="AZ37" s="8">
        <f t="shared" ref="AZ37:AZ56" si="30">EXP(-t/AC37)</f>
        <v>0.99995219151378234</v>
      </c>
      <c r="BA37" s="8">
        <f t="shared" ref="BA37:BA56" si="31">EXP(-t/AD37)</f>
        <v>0.9997940154804893</v>
      </c>
      <c r="BB37" s="8">
        <f t="shared" ref="BB37:BB56" si="32">EXP(-t/AE37)</f>
        <v>0.99936057247266219</v>
      </c>
      <c r="BC37" s="8">
        <f t="shared" ref="BC37:BC56" si="33">EXP(-t/AF37)</f>
        <v>0.9983870734300776</v>
      </c>
      <c r="BD37" s="8">
        <f t="shared" ref="BD37:BD56" si="34">EXP(-t/AG37)</f>
        <v>0.99647536448696317</v>
      </c>
      <c r="BE37" s="8">
        <f t="shared" ref="BE37:BE56" si="35">EXP(-t/AH37)</f>
        <v>0.99306862299724996</v>
      </c>
      <c r="BF37" s="8">
        <f t="shared" ref="BF37:BF56" si="36">EXP(-t/AI37)</f>
        <v>0.98743081649908959</v>
      </c>
      <c r="BG37" s="8">
        <f t="shared" ref="BG37:BG56" si="37">EXP(-t/AJ37)</f>
        <v>0.97863520291750405</v>
      </c>
      <c r="BH37" s="8">
        <f t="shared" ref="BH37:BH56" si="38">EXP(-t/AK37)</f>
        <v>0.96556811422310951</v>
      </c>
      <c r="BI37" s="8">
        <f t="shared" ref="BI37:BI56" si="39">EXP(-t/AL37)</f>
        <v>0.94695633746471175</v>
      </c>
      <c r="BJ37" s="8">
        <f t="shared" ref="BJ37:BJ56" si="40">EXP(-t/AM37)</f>
        <v>0.92142800811170911</v>
      </c>
      <c r="BK37" s="8">
        <f t="shared" ref="BK37:BK56" si="41">EXP(-t/AN37)</f>
        <v>0.8876170642210538</v>
      </c>
      <c r="BL37" s="8">
        <f t="shared" ref="BL37:BL56" si="42">EXP(-t/AO37)</f>
        <v>0.84431853139580626</v>
      </c>
      <c r="BM37" s="8">
        <f t="shared" ref="BM37:BM56" si="43">EXP(-t/AP37)</f>
        <v>0.79069451041666261</v>
      </c>
      <c r="BN37" s="8">
        <f t="shared" ref="BN37:BN56" si="44">EXP(-t/AQ37)</f>
        <v>0.72651732983128037</v>
      </c>
      <c r="BO37" s="8">
        <f t="shared" ref="BO37:BO56" si="45">EXP(-t/AR37)</f>
        <v>0.65241693954405156</v>
      </c>
      <c r="BP37" s="8">
        <f t="shared" ref="BP37:BP56" si="46">EXP(-t/AS37)</f>
        <v>0.57007727888483861</v>
      </c>
      <c r="BQ37" s="8">
        <f t="shared" ref="BQ37:BQ56" si="47">EXP(-t/AT37)</f>
        <v>0.48230847390530102</v>
      </c>
    </row>
    <row r="38" spans="6:69" x14ac:dyDescent="0.3">
      <c r="F38">
        <v>20</v>
      </c>
      <c r="G38">
        <f t="shared" si="4"/>
        <v>293</v>
      </c>
      <c r="H38">
        <f t="shared" si="0"/>
        <v>39.607395651345605</v>
      </c>
      <c r="J38">
        <v>1.6</v>
      </c>
      <c r="K38">
        <f t="shared" si="5"/>
        <v>43117828.006611273</v>
      </c>
      <c r="L38">
        <f t="shared" si="1"/>
        <v>0.99655216569685556</v>
      </c>
      <c r="N38">
        <v>16</v>
      </c>
      <c r="O38">
        <f t="shared" si="6"/>
        <v>383034.56219974079</v>
      </c>
      <c r="P38">
        <f t="shared" si="2"/>
        <v>0.67787662231854262</v>
      </c>
      <c r="R38">
        <f t="shared" si="7"/>
        <v>383034.56219974079</v>
      </c>
      <c r="S38">
        <f t="shared" si="3"/>
        <v>0.67787662231854262</v>
      </c>
      <c r="Z38" s="25">
        <v>20</v>
      </c>
      <c r="AA38" cm="1">
        <f t="array" ref="AA38">INDEX($O$23:$O$42, COLUMN(A1))</f>
        <v>497779220391.02399</v>
      </c>
      <c r="AB38" cm="1">
        <f t="array" ref="AB38">INDEX($O$23:$O$42, COLUMN(B1))</f>
        <v>14743040657.31119</v>
      </c>
      <c r="AC38" cm="1">
        <f t="array" ref="AC38">INDEX($O$23:$O$42, COLUMN(C1))</f>
        <v>1881487357.5680728</v>
      </c>
      <c r="AD38" cm="1">
        <f t="array" ref="AD38">INDEX($O$23:$O$42, COLUMN(D1))</f>
        <v>436653919.88920033</v>
      </c>
      <c r="AE38" cm="1">
        <f t="array" ref="AE38">INDEX($O$23:$O$42, COLUMN(E1))</f>
        <v>140632748.03305167</v>
      </c>
      <c r="AF38" cm="1">
        <f t="array" ref="AF38">INDEX($O$23:$O$42, COLUMN(F1))</f>
        <v>55725195.975543536</v>
      </c>
      <c r="AG38" cm="1">
        <f t="array" ref="AG38">INDEX($O$23:$O$42, COLUMN(G1))</f>
        <v>25476277.736666203</v>
      </c>
      <c r="AH38" cm="1">
        <f t="array" ref="AH38">INDEX($O$23:$O$42, COLUMN(H1))</f>
        <v>12932654.137398124</v>
      </c>
      <c r="AI38" cm="1">
        <f t="array" ref="AI38">INDEX($O$23:$O$42, COLUMN(I1))</f>
        <v>7111575.838597063</v>
      </c>
      <c r="AJ38" cm="1">
        <f t="array" ref="AJ38">INDEX($O$23:$O$42, COLUMN(J1))</f>
        <v>4165208.6649418175</v>
      </c>
      <c r="AK38" cm="1">
        <f t="array" ref="AK38">INDEX($O$23:$O$42, COLUMN(K1))</f>
        <v>2567258.1637524618</v>
      </c>
      <c r="AL38" cm="1">
        <f t="array" ref="AL38">INDEX($O$23:$O$42, COLUMN(L1))</f>
        <v>1650448.223328219</v>
      </c>
      <c r="AM38" cm="1">
        <f t="array" ref="AM38">INDEX($O$23:$O$42, COLUMN(M1))</f>
        <v>1099260.9139619032</v>
      </c>
      <c r="AN38" cm="1">
        <f t="array" ref="AN38">INDEX($O$23:$O$42, COLUMN(N1))</f>
        <v>754546.96195147734</v>
      </c>
      <c r="AO38" cm="1">
        <f t="array" ref="AO38">INDEX($O$23:$O$42, COLUMN(O1))</f>
        <v>531558.42318285326</v>
      </c>
      <c r="AP38" cm="1">
        <f t="array" ref="AP38">INDEX($O$23:$O$42, COLUMN(P1))</f>
        <v>383034.56219974079</v>
      </c>
      <c r="AQ38" cm="1">
        <f t="array" ref="AQ38">INDEX($O$23:$O$42, COLUMN(Q1))</f>
        <v>281549.92097686417</v>
      </c>
      <c r="AR38" cm="1">
        <f t="array" ref="AR38">INDEX($O$23:$O$42, COLUMN(R1))</f>
        <v>210628.02027699762</v>
      </c>
      <c r="AS38" cm="1">
        <f t="array" ref="AS38">INDEX($O$23:$O$42, COLUMN(S1))</f>
        <v>160063.83930623144</v>
      </c>
      <c r="AT38" cm="1">
        <f t="array" ref="AT38">INDEX($O$23:$O$42, COLUMN(T1))</f>
        <v>123363.60815781765</v>
      </c>
      <c r="AW38" s="26">
        <v>20</v>
      </c>
      <c r="AX38" s="8">
        <f t="shared" si="28"/>
        <v>0.99999970083126888</v>
      </c>
      <c r="AY38" s="8">
        <f t="shared" si="29"/>
        <v>0.99998989901395918</v>
      </c>
      <c r="AZ38" s="8">
        <f t="shared" si="30"/>
        <v>0.99992085298578459</v>
      </c>
      <c r="BA38" s="8">
        <f t="shared" si="31"/>
        <v>0.9996590100267938</v>
      </c>
      <c r="BB38" s="8">
        <f t="shared" si="32"/>
        <v>0.9989416321439859</v>
      </c>
      <c r="BC38" s="8">
        <f t="shared" si="33"/>
        <v>0.99733116792772247</v>
      </c>
      <c r="BD38" s="8">
        <f t="shared" si="34"/>
        <v>0.99417161340964377</v>
      </c>
      <c r="BE38" s="8">
        <f t="shared" si="35"/>
        <v>0.98855100659909145</v>
      </c>
      <c r="BF38" s="8">
        <f t="shared" si="36"/>
        <v>0.97927722347602908</v>
      </c>
      <c r="BG38" s="8">
        <f t="shared" si="37"/>
        <v>0.9648782891668346</v>
      </c>
      <c r="BH38" s="8">
        <f t="shared" si="38"/>
        <v>0.9436429538700154</v>
      </c>
      <c r="BI38" s="8">
        <f t="shared" si="39"/>
        <v>0.91372097381959672</v>
      </c>
      <c r="BJ38" s="8">
        <f t="shared" si="40"/>
        <v>0.87330287985655186</v>
      </c>
      <c r="BK38" s="8">
        <f t="shared" si="41"/>
        <v>0.82089221666734546</v>
      </c>
      <c r="BL38" s="8">
        <f t="shared" si="42"/>
        <v>0.75566482711538563</v>
      </c>
      <c r="BM38" s="8">
        <f t="shared" si="43"/>
        <v>0.67787662231854262</v>
      </c>
      <c r="BN38" s="8">
        <f t="shared" si="44"/>
        <v>0.58923553200541912</v>
      </c>
      <c r="BO38" s="8">
        <f t="shared" si="45"/>
        <v>0.49310732189170919</v>
      </c>
      <c r="BP38" s="8">
        <f t="shared" si="46"/>
        <v>0.39440428847407799</v>
      </c>
      <c r="BQ38" s="8">
        <f t="shared" si="47"/>
        <v>0.29904442583108626</v>
      </c>
    </row>
    <row r="39" spans="6:69" x14ac:dyDescent="0.3">
      <c r="F39">
        <v>20</v>
      </c>
      <c r="G39">
        <f t="shared" si="4"/>
        <v>293</v>
      </c>
      <c r="H39">
        <f t="shared" si="0"/>
        <v>39.607395651345605</v>
      </c>
      <c r="J39">
        <v>1.7</v>
      </c>
      <c r="K39">
        <f t="shared" si="5"/>
        <v>26091942.61055373</v>
      </c>
      <c r="L39">
        <f t="shared" si="1"/>
        <v>0.99430874778225375</v>
      </c>
      <c r="N39">
        <v>17</v>
      </c>
      <c r="O39">
        <f t="shared" si="6"/>
        <v>281549.92097686417</v>
      </c>
      <c r="P39">
        <f t="shared" si="2"/>
        <v>0.58923553200541912</v>
      </c>
      <c r="R39">
        <f t="shared" si="7"/>
        <v>281549.92097686417</v>
      </c>
      <c r="S39">
        <f t="shared" si="3"/>
        <v>0.58923553200541912</v>
      </c>
      <c r="Z39" s="25">
        <v>30</v>
      </c>
      <c r="AA39" cm="1">
        <f t="array" ref="AA39">INDEX($O$43:$O$62, COLUMN(A1))</f>
        <v>310850563222.03723</v>
      </c>
      <c r="AB39" cm="1">
        <f t="array" ref="AB39">INDEX($O$43:$O$62, COLUMN(B1))</f>
        <v>9206656895.6626053</v>
      </c>
      <c r="AC39" cm="1">
        <f t="array" ref="AC39">INDEX($O$43:$O$62, COLUMN(C1))</f>
        <v>1174941381.3130803</v>
      </c>
      <c r="AD39" cm="1">
        <f t="array" ref="AD39">INDEX($O$43:$O$62, COLUMN(D1))</f>
        <v>272679355.36570626</v>
      </c>
      <c r="AE39" cm="1">
        <f t="array" ref="AE39">INDEX($O$43:$O$62, COLUMN(E1))</f>
        <v>87821602.716153175</v>
      </c>
      <c r="AF39" cm="1">
        <f t="array" ref="AF39">INDEX($O$43:$O$62, COLUMN(F1))</f>
        <v>34798978.834530048</v>
      </c>
      <c r="AG39" cm="1">
        <f t="array" ref="AG39">INDEX($O$43:$O$62, COLUMN(G1))</f>
        <v>15909292.631827462</v>
      </c>
      <c r="AH39" cm="1">
        <f t="array" ref="AH39">INDEX($O$43:$O$62, COLUMN(H1))</f>
        <v>8076116.1934563313</v>
      </c>
      <c r="AI39" cm="1">
        <f t="array" ref="AI39">INDEX($O$43:$O$62, COLUMN(I1))</f>
        <v>4440999.6726813773</v>
      </c>
      <c r="AJ39" cm="1">
        <f t="array" ref="AJ39">INDEX($O$43:$O$62, COLUMN(J1))</f>
        <v>2601067.7151557147</v>
      </c>
      <c r="AK39" cm="1">
        <f t="array" ref="AK39">INDEX($O$43:$O$62, COLUMN(K1))</f>
        <v>1603187.9464794472</v>
      </c>
      <c r="AL39" cm="1">
        <f t="array" ref="AL39">INDEX($O$43:$O$62, COLUMN(L1))</f>
        <v>1030663.2715350663</v>
      </c>
      <c r="AM39" cm="1">
        <f t="array" ref="AM39">INDEX($O$43:$O$62, COLUMN(M1))</f>
        <v>686460.70433515962</v>
      </c>
      <c r="AN39" cm="1">
        <f t="array" ref="AN39">INDEX($O$43:$O$62, COLUMN(N1))</f>
        <v>471195.539090292</v>
      </c>
      <c r="AO39" cm="1">
        <f t="array" ref="AO39">INDEX($O$43:$O$62, COLUMN(O1))</f>
        <v>331944.82305229525</v>
      </c>
      <c r="AP39" cm="1">
        <f t="array" ref="AP39">INDEX($O$43:$O$62, COLUMN(P1))</f>
        <v>239195.41940654881</v>
      </c>
      <c r="AQ39" cm="1">
        <f t="array" ref="AQ39">INDEX($O$43:$O$62, COLUMN(Q1))</f>
        <v>175820.82161249747</v>
      </c>
      <c r="AR39" cm="1">
        <f t="array" ref="AR39">INDEX($O$43:$O$62, COLUMN(R1))</f>
        <v>131531.88411925928</v>
      </c>
      <c r="AS39" cm="1">
        <f t="array" ref="AS39">INDEX($O$43:$O$62, COLUMN(S1))</f>
        <v>99955.828933032943</v>
      </c>
      <c r="AT39" cm="1">
        <f t="array" ref="AT39">INDEX($O$43:$O$62, COLUMN(T1))</f>
        <v>77037.46059716359</v>
      </c>
      <c r="AW39" s="26">
        <v>30</v>
      </c>
      <c r="AX39" s="8">
        <f t="shared" si="28"/>
        <v>0.99999952092747468</v>
      </c>
      <c r="AY39" s="8">
        <f t="shared" si="29"/>
        <v>0.99998382487831527</v>
      </c>
      <c r="AZ39" s="8">
        <f t="shared" si="30"/>
        <v>0.9998732612833251</v>
      </c>
      <c r="BA39" s="8">
        <f t="shared" si="31"/>
        <v>0.99945401315065063</v>
      </c>
      <c r="BB39" s="8">
        <f t="shared" si="32"/>
        <v>0.99830572656221217</v>
      </c>
      <c r="BC39" s="8">
        <f t="shared" si="33"/>
        <v>0.99572970781800862</v>
      </c>
      <c r="BD39" s="8">
        <f t="shared" si="34"/>
        <v>0.99068310670602333</v>
      </c>
      <c r="BE39" s="8">
        <f t="shared" si="35"/>
        <v>0.98172941206350783</v>
      </c>
      <c r="BF39" s="8">
        <f t="shared" si="36"/>
        <v>0.96702300809657504</v>
      </c>
      <c r="BG39" s="8">
        <f t="shared" si="37"/>
        <v>0.94435472877901794</v>
      </c>
      <c r="BH39" s="8">
        <f t="shared" si="38"/>
        <v>0.91129381005071164</v>
      </c>
      <c r="BI39" s="8">
        <f t="shared" si="39"/>
        <v>0.86546401717035881</v>
      </c>
      <c r="BJ39" s="8">
        <f t="shared" si="40"/>
        <v>0.80497918731571372</v>
      </c>
      <c r="BK39" s="8">
        <f t="shared" si="41"/>
        <v>0.72902508699898561</v>
      </c>
      <c r="BL39" s="8">
        <f t="shared" si="42"/>
        <v>0.63850308172884185</v>
      </c>
      <c r="BM39" s="8">
        <f t="shared" si="43"/>
        <v>0.53655448099123837</v>
      </c>
      <c r="BN39" s="8">
        <f t="shared" si="44"/>
        <v>0.42869967723958935</v>
      </c>
      <c r="BO39" s="8">
        <f t="shared" si="45"/>
        <v>0.32232434267990395</v>
      </c>
      <c r="BP39" s="8">
        <f t="shared" si="46"/>
        <v>0.22540464129603438</v>
      </c>
      <c r="BQ39" s="8">
        <f t="shared" si="47"/>
        <v>0.14470103024830136</v>
      </c>
    </row>
    <row r="40" spans="6:69" x14ac:dyDescent="0.3">
      <c r="F40">
        <v>20</v>
      </c>
      <c r="G40">
        <f t="shared" si="4"/>
        <v>293</v>
      </c>
      <c r="H40">
        <f t="shared" si="0"/>
        <v>39.607395651345605</v>
      </c>
      <c r="J40">
        <v>1.8</v>
      </c>
      <c r="K40">
        <f t="shared" si="5"/>
        <v>15789048.304753255</v>
      </c>
      <c r="L40">
        <f t="shared" si="1"/>
        <v>0.99061248632151466</v>
      </c>
      <c r="N40">
        <v>18</v>
      </c>
      <c r="O40">
        <f t="shared" si="6"/>
        <v>210628.02027699762</v>
      </c>
      <c r="P40">
        <f t="shared" si="2"/>
        <v>0.49310732189170919</v>
      </c>
      <c r="R40">
        <f t="shared" si="7"/>
        <v>210628.02027699762</v>
      </c>
      <c r="S40">
        <f t="shared" si="3"/>
        <v>0.49310732189170919</v>
      </c>
      <c r="Z40" s="25">
        <v>40</v>
      </c>
      <c r="AA40" cm="1">
        <f t="array" ref="AA40">INDEX($O$63:$O$82, COLUMN(A1))</f>
        <v>200047300321.57388</v>
      </c>
      <c r="AB40" cm="1">
        <f t="array" ref="AB40">INDEX($O$63:$O$82, COLUMN(B1))</f>
        <v>5924926877.6416922</v>
      </c>
      <c r="AC40" cm="1">
        <f t="array" ref="AC40">INDEX($O$63:$O$82, COLUMN(C1))</f>
        <v>756131335.04246962</v>
      </c>
      <c r="AD40" cm="1">
        <f t="array" ref="AD40">INDEX($O$63:$O$82, COLUMN(D1))</f>
        <v>175482290.68310553</v>
      </c>
      <c r="AE40" cm="1">
        <f t="array" ref="AE40">INDEX($O$63:$O$82, COLUMN(E1))</f>
        <v>56517428.667907119</v>
      </c>
      <c r="AF40" cm="1">
        <f t="array" ref="AF40">INDEX($O$63:$O$82, COLUMN(F1))</f>
        <v>22394817.939650446</v>
      </c>
      <c r="AG40" cm="1">
        <f t="array" ref="AG40">INDEX($O$63:$O$82, COLUMN(G1))</f>
        <v>10238395.607312076</v>
      </c>
      <c r="AH40" cm="1">
        <f t="array" ref="AH40">INDEX($O$63:$O$82, COLUMN(H1))</f>
        <v>5197369.5168448994</v>
      </c>
      <c r="AI40" cm="1">
        <f t="array" ref="AI40">INDEX($O$63:$O$82, COLUMN(I1))</f>
        <v>2857997.058265971</v>
      </c>
      <c r="AJ40" cm="1">
        <f t="array" ref="AJ40">INDEX($O$63:$O$82, COLUMN(J1))</f>
        <v>1673912.2779032392</v>
      </c>
      <c r="AK40" cm="1">
        <f t="array" ref="AK40">INDEX($O$63:$O$82, COLUMN(K1))</f>
        <v>1031728.6135081541</v>
      </c>
      <c r="AL40" cm="1">
        <f t="array" ref="AL40">INDEX($O$63:$O$82, COLUMN(L1))</f>
        <v>663281.42652879178</v>
      </c>
      <c r="AM40" cm="1">
        <f t="array" ref="AM40">INDEX($O$63:$O$82, COLUMN(M1))</f>
        <v>441770.50623841176</v>
      </c>
      <c r="AN40" cm="1">
        <f t="array" ref="AN40">INDEX($O$63:$O$82, COLUMN(N1))</f>
        <v>303237.01054789993</v>
      </c>
      <c r="AO40" cm="1">
        <f t="array" ref="AO40">INDEX($O$63:$O$82, COLUMN(O1))</f>
        <v>213622.47190107894</v>
      </c>
      <c r="AP40" cm="1">
        <f t="array" ref="AP40">INDEX($O$63:$O$82, COLUMN(P1))</f>
        <v>153933.76613375367</v>
      </c>
      <c r="AQ40" cm="1">
        <f t="array" ref="AQ40">INDEX($O$63:$O$82, COLUMN(Q1))</f>
        <v>113149.16189737711</v>
      </c>
      <c r="AR40" cm="1">
        <f t="array" ref="AR40">INDEX($O$63:$O$82, COLUMN(R1))</f>
        <v>84647.098758747001</v>
      </c>
      <c r="AS40" cm="1">
        <f t="array" ref="AS40">INDEX($O$63:$O$82, COLUMN(S1))</f>
        <v>64326.387323208583</v>
      </c>
      <c r="AT40" cm="1">
        <f t="array" ref="AT40">INDEX($O$63:$O$82, COLUMN(T1))</f>
        <v>49577.314116314432</v>
      </c>
      <c r="AW40" s="26">
        <v>40</v>
      </c>
      <c r="AX40" s="8">
        <f t="shared" si="28"/>
        <v>0.99999925557633451</v>
      </c>
      <c r="AY40" s="8">
        <f t="shared" si="29"/>
        <v>0.99997486582846051</v>
      </c>
      <c r="AZ40" s="8">
        <f t="shared" si="30"/>
        <v>0.99980306948122466</v>
      </c>
      <c r="BA40" s="8">
        <f t="shared" si="31"/>
        <v>0.99915172734465107</v>
      </c>
      <c r="BB40" s="8">
        <f t="shared" si="32"/>
        <v>0.99736852899846018</v>
      </c>
      <c r="BC40" s="8">
        <f t="shared" si="33"/>
        <v>0.99337230802607435</v>
      </c>
      <c r="BD40" s="8">
        <f t="shared" si="34"/>
        <v>0.98556002341450144</v>
      </c>
      <c r="BE40" s="8">
        <f t="shared" si="35"/>
        <v>0.97175364724265456</v>
      </c>
      <c r="BF40" s="8">
        <f t="shared" si="36"/>
        <v>0.94922784300521268</v>
      </c>
      <c r="BG40" s="8">
        <f t="shared" si="37"/>
        <v>0.9148773782816958</v>
      </c>
      <c r="BH40" s="8">
        <f t="shared" si="38"/>
        <v>0.86559315134904447</v>
      </c>
      <c r="BI40" s="8">
        <f t="shared" si="39"/>
        <v>0.79889953336761166</v>
      </c>
      <c r="BJ40" s="8">
        <f t="shared" si="40"/>
        <v>0.7138388061158798</v>
      </c>
      <c r="BK40" s="8">
        <f t="shared" si="41"/>
        <v>0.6119522619195662</v>
      </c>
      <c r="BL40" s="8">
        <f t="shared" si="42"/>
        <v>0.4980186909655942</v>
      </c>
      <c r="BM40" s="8">
        <f t="shared" si="43"/>
        <v>0.38005888846620645</v>
      </c>
      <c r="BN40" s="8">
        <f t="shared" si="44"/>
        <v>0.26816876382217131</v>
      </c>
      <c r="BO40" s="8">
        <f t="shared" si="45"/>
        <v>0.1721646069005181</v>
      </c>
      <c r="BP40" s="8">
        <f t="shared" si="46"/>
        <v>9.8759408019755593E-2</v>
      </c>
      <c r="BQ40" s="8">
        <f t="shared" si="47"/>
        <v>4.9598572801395305E-2</v>
      </c>
    </row>
    <row r="41" spans="6:69" x14ac:dyDescent="0.3">
      <c r="F41">
        <v>20</v>
      </c>
      <c r="G41">
        <f t="shared" si="4"/>
        <v>293</v>
      </c>
      <c r="H41">
        <f t="shared" si="0"/>
        <v>39.607395651345605</v>
      </c>
      <c r="J41">
        <v>1.9</v>
      </c>
      <c r="K41">
        <f t="shared" si="5"/>
        <v>9554445.6037933137</v>
      </c>
      <c r="L41">
        <f t="shared" si="1"/>
        <v>0.98453437860379489</v>
      </c>
      <c r="N41">
        <v>19</v>
      </c>
      <c r="O41">
        <f t="shared" si="6"/>
        <v>160063.83930623144</v>
      </c>
      <c r="P41">
        <f t="shared" si="2"/>
        <v>0.39440428847407799</v>
      </c>
      <c r="R41">
        <f t="shared" si="7"/>
        <v>160063.83930623144</v>
      </c>
      <c r="S41">
        <f t="shared" si="3"/>
        <v>0.39440428847407799</v>
      </c>
      <c r="Z41" s="25">
        <v>50</v>
      </c>
      <c r="AA41" cm="1">
        <f t="array" ref="AA41">INDEX($O$83:$O$102, COLUMN(A1))</f>
        <v>132301966219.61664</v>
      </c>
      <c r="AB41" cm="1">
        <f t="array" ref="AB41">INDEX($O$83:$O$102, COLUMN(B1))</f>
        <v>3918470653.4873104</v>
      </c>
      <c r="AC41" cm="1">
        <f t="array" ref="AC41">INDEX($O$83:$O$102, COLUMN(C1))</f>
        <v>500070044.36237323</v>
      </c>
      <c r="AD41" cm="1">
        <f t="array" ref="AD41">INDEX($O$83:$O$102, COLUMN(D1))</f>
        <v>116055813.08408891</v>
      </c>
      <c r="AE41" cm="1">
        <f t="array" ref="AE41">INDEX($O$83:$O$102, COLUMN(E1))</f>
        <v>37377994.736351125</v>
      </c>
      <c r="AF41" cm="1">
        <f t="array" ref="AF41">INDEX($O$83:$O$102, COLUMN(F1))</f>
        <v>14810889.433565477</v>
      </c>
      <c r="AG41" cm="1">
        <f t="array" ref="AG41">INDEX($O$83:$O$102, COLUMN(G1))</f>
        <v>6771197.9497060617</v>
      </c>
      <c r="AH41" cm="1">
        <f t="array" ref="AH41">INDEX($O$83:$O$102, COLUMN(H1))</f>
        <v>3437298.1047139047</v>
      </c>
      <c r="AI41" cm="1">
        <f t="array" ref="AI41">INDEX($O$83:$O$102, COLUMN(I1))</f>
        <v>1890146.1286937972</v>
      </c>
      <c r="AJ41" cm="1">
        <f t="array" ref="AJ41">INDEX($O$83:$O$102, COLUMN(J1))</f>
        <v>1107047.6096890999</v>
      </c>
      <c r="AK41" cm="1">
        <f t="array" ref="AK41">INDEX($O$83:$O$102, COLUMN(K1))</f>
        <v>682337.24700481282</v>
      </c>
      <c r="AL41" cm="1">
        <f t="array" ref="AL41">INDEX($O$83:$O$102, COLUMN(L1))</f>
        <v>438663.43982472469</v>
      </c>
      <c r="AM41" cm="1">
        <f t="array" ref="AM41">INDEX($O$83:$O$102, COLUMN(M1))</f>
        <v>292166.43513421179</v>
      </c>
      <c r="AN41" cm="1">
        <f t="array" ref="AN41">INDEX($O$83:$O$102, COLUMN(N1))</f>
        <v>200546.83398153921</v>
      </c>
      <c r="AO41" cm="1">
        <f t="array" ref="AO41">INDEX($O$83:$O$102, COLUMN(O1))</f>
        <v>141279.95237014251</v>
      </c>
      <c r="AP41" cm="1">
        <f t="array" ref="AP41">INDEX($O$83:$O$102, COLUMN(P1))</f>
        <v>101804.62267847924</v>
      </c>
      <c r="AQ41" cm="1">
        <f t="array" ref="AQ41">INDEX($O$83:$O$102, COLUMN(Q1))</f>
        <v>74831.585185407836</v>
      </c>
      <c r="AR41" cm="1">
        <f t="array" ref="AR41">INDEX($O$83:$O$102, COLUMN(R1))</f>
        <v>55981.64825301848</v>
      </c>
      <c r="AS41" cm="1">
        <f t="array" ref="AS41">INDEX($O$83:$O$102, COLUMN(S1))</f>
        <v>42542.476249289888</v>
      </c>
      <c r="AT41" cm="1">
        <f t="array" ref="AT41">INDEX($O$83:$O$102, COLUMN(T1))</f>
        <v>32788.126242804334</v>
      </c>
      <c r="AW41" s="26">
        <v>50</v>
      </c>
      <c r="AX41" s="8">
        <f t="shared" si="28"/>
        <v>0.99999887439377932</v>
      </c>
      <c r="AY41" s="8">
        <f t="shared" si="29"/>
        <v>0.99996199609914671</v>
      </c>
      <c r="AZ41" s="8">
        <f t="shared" si="30"/>
        <v>0.99970224605568858</v>
      </c>
      <c r="BA41" s="8">
        <f t="shared" si="31"/>
        <v>0.99871764721097567</v>
      </c>
      <c r="BB41" s="8">
        <f t="shared" si="32"/>
        <v>0.99602376387744063</v>
      </c>
      <c r="BC41" s="8">
        <f t="shared" si="33"/>
        <v>0.98999561600327379</v>
      </c>
      <c r="BD41" s="8">
        <f t="shared" si="34"/>
        <v>0.97824693200166113</v>
      </c>
      <c r="BE41" s="8">
        <f t="shared" si="35"/>
        <v>0.95760038143273551</v>
      </c>
      <c r="BF41" s="8">
        <f t="shared" si="36"/>
        <v>0.92423624908424484</v>
      </c>
      <c r="BG41" s="8">
        <f t="shared" si="37"/>
        <v>0.87413543109621672</v>
      </c>
      <c r="BH41" s="8">
        <f t="shared" si="38"/>
        <v>0.80392455815206665</v>
      </c>
      <c r="BI41" s="8">
        <f t="shared" si="39"/>
        <v>0.71213642346087858</v>
      </c>
      <c r="BJ41" s="8">
        <f t="shared" si="40"/>
        <v>0.60067006367967479</v>
      </c>
      <c r="BK41" s="8">
        <f t="shared" si="41"/>
        <v>0.47588945538693739</v>
      </c>
      <c r="BL41" s="8">
        <f t="shared" si="42"/>
        <v>0.34851382987899832</v>
      </c>
      <c r="BM41" s="8">
        <f t="shared" si="43"/>
        <v>0.23158647238725369</v>
      </c>
      <c r="BN41" s="8">
        <f t="shared" si="44"/>
        <v>0.13668602647934472</v>
      </c>
      <c r="BO41" s="8">
        <f t="shared" si="45"/>
        <v>6.993720759450657E-2</v>
      </c>
      <c r="BP41" s="8">
        <f t="shared" si="46"/>
        <v>3.0182244596507014E-2</v>
      </c>
      <c r="BQ41" s="8">
        <f t="shared" si="47"/>
        <v>1.0653273238669242E-2</v>
      </c>
    </row>
    <row r="42" spans="6:69" x14ac:dyDescent="0.3">
      <c r="F42">
        <v>20</v>
      </c>
      <c r="G42">
        <f t="shared" si="4"/>
        <v>293</v>
      </c>
      <c r="H42">
        <f t="shared" si="0"/>
        <v>39.607395651345605</v>
      </c>
      <c r="J42">
        <v>2</v>
      </c>
      <c r="K42">
        <f>$C$7*EXP($C$5*H42)*EXP(-$C$6*J42)</f>
        <v>5781693.046588704</v>
      </c>
      <c r="L42">
        <f t="shared" si="1"/>
        <v>0.97457172467159336</v>
      </c>
      <c r="N42">
        <v>20</v>
      </c>
      <c r="O42">
        <f t="shared" si="6"/>
        <v>123363.60815781765</v>
      </c>
      <c r="P42">
        <f t="shared" si="2"/>
        <v>0.29904442583108626</v>
      </c>
      <c r="R42">
        <f t="shared" si="7"/>
        <v>123363.60815781765</v>
      </c>
      <c r="S42">
        <f t="shared" si="3"/>
        <v>0.29904442583108626</v>
      </c>
      <c r="Z42" s="25">
        <v>60</v>
      </c>
      <c r="AA42" cm="1">
        <f t="array" ref="AA42">INDEX($O$103:$O$122, COLUMN(A1))</f>
        <v>89698394716.582443</v>
      </c>
      <c r="AB42" cm="1">
        <f t="array" ref="AB42">INDEX($O$103:$O$122, COLUMN(B1))</f>
        <v>2656653845.7818842</v>
      </c>
      <c r="AC42" cm="1">
        <f t="array" ref="AC42">INDEX($O$103:$O$122, COLUMN(C1))</f>
        <v>339038651.55485684</v>
      </c>
      <c r="AD42" cm="1">
        <f t="array" ref="AD42">INDEX($O$103:$O$122, COLUMN(D1))</f>
        <v>78683790.034459874</v>
      </c>
      <c r="AE42" cm="1">
        <f t="array" ref="AE42">INDEX($O$103:$O$122, COLUMN(E1))</f>
        <v>25341619.791274473</v>
      </c>
      <c r="AF42" cm="1">
        <f t="array" ref="AF42">INDEX($O$103:$O$122, COLUMN(F1))</f>
        <v>10041521.259860424</v>
      </c>
      <c r="AG42" cm="1">
        <f t="array" ref="AG42">INDEX($O$103:$O$122, COLUMN(G1))</f>
        <v>4590752.5318908896</v>
      </c>
      <c r="AH42" cm="1">
        <f t="array" ref="AH42">INDEX($O$103:$O$122, COLUMN(H1))</f>
        <v>2330427.3622312453</v>
      </c>
      <c r="AI42" cm="1">
        <f t="array" ref="AI42">INDEX($O$103:$O$122, COLUMN(I1))</f>
        <v>1281485.6677349817</v>
      </c>
      <c r="AJ42" cm="1">
        <f t="array" ref="AJ42">INDEX($O$103:$O$122, COLUMN(J1))</f>
        <v>750558.71277911926</v>
      </c>
      <c r="AK42" cm="1">
        <f t="array" ref="AK42">INDEX($O$103:$O$122, COLUMN(K1))</f>
        <v>462612.59345206164</v>
      </c>
      <c r="AL42" cm="1">
        <f t="array" ref="AL42">INDEX($O$103:$O$122, COLUMN(L1))</f>
        <v>297406.05901364039</v>
      </c>
      <c r="AM42" cm="1">
        <f t="array" ref="AM42">INDEX($O$103:$O$122, COLUMN(M1))</f>
        <v>198083.67910498651</v>
      </c>
      <c r="AN42" cm="1">
        <f t="array" ref="AN42">INDEX($O$103:$O$122, COLUMN(N1))</f>
        <v>135967.20886049699</v>
      </c>
      <c r="AO42" cm="1">
        <f t="array" ref="AO42">INDEX($O$103:$O$122, COLUMN(O1))</f>
        <v>95785.310644597383</v>
      </c>
      <c r="AP42" cm="1">
        <f t="array" ref="AP42">INDEX($O$103:$O$122, COLUMN(P1))</f>
        <v>69021.734823114035</v>
      </c>
      <c r="AQ42" cm="1">
        <f t="array" ref="AQ42">INDEX($O$103:$O$122, COLUMN(Q1))</f>
        <v>50734.492139641647</v>
      </c>
      <c r="AR42" cm="1">
        <f t="array" ref="AR42">INDEX($O$103:$O$122, COLUMN(R1))</f>
        <v>37954.56806400499</v>
      </c>
      <c r="AS42" cm="1">
        <f t="array" ref="AS42">INDEX($O$103:$O$122, COLUMN(S1))</f>
        <v>28843.046977058715</v>
      </c>
      <c r="AT42" cm="1">
        <f t="array" ref="AT42">INDEX($O$103:$O$122, COLUMN(T1))</f>
        <v>22229.770076600151</v>
      </c>
      <c r="AW42" s="26">
        <v>60</v>
      </c>
      <c r="AX42" s="8">
        <f t="shared" si="28"/>
        <v>0.99999833977099761</v>
      </c>
      <c r="AY42" s="8">
        <f t="shared" si="29"/>
        <v>0.99994394609353277</v>
      </c>
      <c r="AZ42" s="8">
        <f t="shared" si="30"/>
        <v>0.9995608544980068</v>
      </c>
      <c r="BA42" s="8">
        <f t="shared" si="31"/>
        <v>0.99810915103467579</v>
      </c>
      <c r="BB42" s="8">
        <f t="shared" si="32"/>
        <v>0.99414073397933611</v>
      </c>
      <c r="BC42" s="8">
        <f t="shared" si="33"/>
        <v>0.98527900686533509</v>
      </c>
      <c r="BD42" s="8">
        <f t="shared" si="34"/>
        <v>0.96808137898489999</v>
      </c>
      <c r="BE42" s="8">
        <f t="shared" si="35"/>
        <v>0.93809651362480573</v>
      </c>
      <c r="BF42" s="8">
        <f t="shared" si="36"/>
        <v>0.89028925011133186</v>
      </c>
      <c r="BG42" s="8">
        <f t="shared" si="37"/>
        <v>0.82003177230327629</v>
      </c>
      <c r="BH42" s="8">
        <f t="shared" si="38"/>
        <v>0.72476282070047116</v>
      </c>
      <c r="BI42" s="8">
        <f t="shared" si="39"/>
        <v>0.60608833091536718</v>
      </c>
      <c r="BJ42" s="8">
        <f t="shared" si="40"/>
        <v>0.47151541513613104</v>
      </c>
      <c r="BK42" s="8">
        <f t="shared" si="41"/>
        <v>0.33445127320328638</v>
      </c>
      <c r="BL42" s="8">
        <f t="shared" si="42"/>
        <v>0.21124706431758003</v>
      </c>
      <c r="BM42" s="8">
        <f t="shared" si="43"/>
        <v>0.11560440279506168</v>
      </c>
      <c r="BN42" s="8">
        <f t="shared" si="44"/>
        <v>5.3115782063068266E-2</v>
      </c>
      <c r="BO42" s="8">
        <f t="shared" si="45"/>
        <v>1.9769036444388988E-2</v>
      </c>
      <c r="BP42" s="8">
        <f t="shared" si="46"/>
        <v>5.7238358662303132E-3</v>
      </c>
      <c r="BQ42" s="8">
        <f t="shared" si="47"/>
        <v>1.2319898910375336E-3</v>
      </c>
    </row>
    <row r="43" spans="6:69" x14ac:dyDescent="0.3">
      <c r="F43">
        <v>30</v>
      </c>
      <c r="G43">
        <f t="shared" si="4"/>
        <v>303</v>
      </c>
      <c r="H43">
        <f t="shared" si="0"/>
        <v>38.300220877373803</v>
      </c>
      <c r="J43">
        <v>0.1</v>
      </c>
      <c r="K43">
        <f>$C$7*EXP($C$5*H43)*EXP(-$C$6*J43)</f>
        <v>40611108972.828896</v>
      </c>
      <c r="L43">
        <f t="shared" si="1"/>
        <v>0.99999633302978608</v>
      </c>
      <c r="N43">
        <v>1</v>
      </c>
      <c r="O43">
        <f t="shared" si="6"/>
        <v>310850563222.03723</v>
      </c>
      <c r="P43">
        <f t="shared" si="2"/>
        <v>0.99999952092747468</v>
      </c>
      <c r="R43">
        <f t="shared" si="7"/>
        <v>40611108972.828896</v>
      </c>
      <c r="S43">
        <f t="shared" si="3"/>
        <v>0.99999633302978608</v>
      </c>
      <c r="Z43" s="25">
        <v>70</v>
      </c>
      <c r="AA43" cm="1">
        <f t="array" ref="AA43">INDEX($O$123:$O$142, COLUMN(A1))</f>
        <v>62207756269.545097</v>
      </c>
      <c r="AB43" cm="1">
        <f t="array" ref="AB43">INDEX($O$123:$O$142, COLUMN(B1))</f>
        <v>1842446294.0850921</v>
      </c>
      <c r="AC43" cm="1">
        <f t="array" ref="AC43">INDEX($O$123:$O$142, COLUMN(C1))</f>
        <v>235130560.2348837</v>
      </c>
      <c r="AD43" cm="1">
        <f t="array" ref="AD43">INDEX($O$123:$O$142, COLUMN(D1))</f>
        <v>54568892.211432807</v>
      </c>
      <c r="AE43" cm="1">
        <f t="array" ref="AE43">INDEX($O$123:$O$142, COLUMN(E1))</f>
        <v>17574955.632507514</v>
      </c>
      <c r="AF43" cm="1">
        <f t="array" ref="AF43">INDEX($O$123:$O$142, COLUMN(F1))</f>
        <v>6964009.8809190001</v>
      </c>
      <c r="AG43" cm="1">
        <f t="array" ref="AG43">INDEX($O$123:$O$142, COLUMN(G1))</f>
        <v>3183785.122353707</v>
      </c>
      <c r="AH43" cm="1">
        <f t="array" ref="AH43">INDEX($O$123:$O$142, COLUMN(H1))</f>
        <v>1616201.2465398074</v>
      </c>
      <c r="AI43" cm="1">
        <f t="array" ref="AI43">INDEX($O$123:$O$142, COLUMN(I1))</f>
        <v>888737.73419532075</v>
      </c>
      <c r="AJ43" cm="1">
        <f t="array" ref="AJ43">INDEX($O$123:$O$142, COLUMN(J1))</f>
        <v>520528.52916792862</v>
      </c>
      <c r="AK43" cm="1">
        <f t="array" ref="AK43">INDEX($O$123:$O$142, COLUMN(K1))</f>
        <v>320831.73340634862</v>
      </c>
      <c r="AL43" cm="1">
        <f t="array" ref="AL43">INDEX($O$123:$O$142, COLUMN(L1))</f>
        <v>206257.46637566341</v>
      </c>
      <c r="AM43" cm="1">
        <f t="array" ref="AM43">INDEX($O$123:$O$142, COLUMN(M1))</f>
        <v>137375.27042342673</v>
      </c>
      <c r="AN43" cm="1">
        <f t="array" ref="AN43">INDEX($O$123:$O$142, COLUMN(N1))</f>
        <v>94296.169024755902</v>
      </c>
      <c r="AO43" cm="1">
        <f t="array" ref="AO43">INDEX($O$123:$O$142, COLUMN(O1))</f>
        <v>66429.162724806491</v>
      </c>
      <c r="AP43" cm="1">
        <f t="array" ref="AP43">INDEX($O$123:$O$142, COLUMN(P1))</f>
        <v>47868.050155681129</v>
      </c>
      <c r="AQ43" cm="1">
        <f t="array" ref="AQ43">INDEX($O$123:$O$142, COLUMN(Q1))</f>
        <v>35185.456010156653</v>
      </c>
      <c r="AR43" cm="1">
        <f t="array" ref="AR43">INDEX($O$123:$O$142, COLUMN(R1))</f>
        <v>26322.305175044508</v>
      </c>
      <c r="AS43" cm="1">
        <f t="array" ref="AS43">INDEX($O$123:$O$142, COLUMN(S1))</f>
        <v>20003.270315920214</v>
      </c>
      <c r="AT43" cm="1">
        <f t="array" ref="AT43">INDEX($O$123:$O$142, COLUMN(T1))</f>
        <v>15416.82126221508</v>
      </c>
      <c r="AW43" s="26">
        <v>70</v>
      </c>
      <c r="AX43" s="8">
        <f t="shared" si="28"/>
        <v>0.9999976060891651</v>
      </c>
      <c r="AY43" s="8">
        <f t="shared" si="29"/>
        <v>0.99991917594437474</v>
      </c>
      <c r="AZ43" s="8">
        <f t="shared" si="30"/>
        <v>0.99936685027013961</v>
      </c>
      <c r="BA43" s="8">
        <f t="shared" si="31"/>
        <v>0.997274693047286</v>
      </c>
      <c r="BB43" s="8">
        <f t="shared" si="32"/>
        <v>0.99156237714368123</v>
      </c>
      <c r="BC43" s="8">
        <f t="shared" si="33"/>
        <v>0.97884278999590879</v>
      </c>
      <c r="BD43" s="8">
        <f t="shared" si="34"/>
        <v>0.95430255573099898</v>
      </c>
      <c r="BE43" s="8">
        <f t="shared" si="35"/>
        <v>0.9119756484192908</v>
      </c>
      <c r="BF43" s="8">
        <f t="shared" si="36"/>
        <v>0.84572291724496595</v>
      </c>
      <c r="BG43" s="8">
        <f t="shared" si="37"/>
        <v>0.75119212905312915</v>
      </c>
      <c r="BH43" s="8">
        <f t="shared" si="38"/>
        <v>0.6286575862593865</v>
      </c>
      <c r="BI43" s="8">
        <f t="shared" si="39"/>
        <v>0.48577475653875579</v>
      </c>
      <c r="BJ43" s="8">
        <f t="shared" si="40"/>
        <v>0.33822703680737609</v>
      </c>
      <c r="BK43" s="8">
        <f t="shared" si="41"/>
        <v>0.20612357131750836</v>
      </c>
      <c r="BL43" s="8">
        <f t="shared" si="42"/>
        <v>0.10626848636997767</v>
      </c>
      <c r="BM43" s="8">
        <f t="shared" si="43"/>
        <v>4.4554053452214824E-2</v>
      </c>
      <c r="BN43" s="8">
        <f t="shared" si="44"/>
        <v>1.4517062745219063E-2</v>
      </c>
      <c r="BO43" s="8">
        <f t="shared" si="45"/>
        <v>3.4910273820301803E-3</v>
      </c>
      <c r="BP43" s="8">
        <f t="shared" si="46"/>
        <v>5.8448311790527409E-4</v>
      </c>
      <c r="BQ43" s="8">
        <f t="shared" si="47"/>
        <v>6.3811392918570377E-5</v>
      </c>
    </row>
    <row r="44" spans="6:69" x14ac:dyDescent="0.3">
      <c r="F44">
        <v>30</v>
      </c>
      <c r="G44">
        <f t="shared" si="4"/>
        <v>303</v>
      </c>
      <c r="H44">
        <f t="shared" si="0"/>
        <v>38.300220877373803</v>
      </c>
      <c r="J44">
        <v>0.2</v>
      </c>
      <c r="K44">
        <f t="shared" ref="K44:K64" si="48">$C$7*EXP($C$5*H44)*EXP(-$C$6*J44)</f>
        <v>24575048736.395588</v>
      </c>
      <c r="L44">
        <f t="shared" si="1"/>
        <v>0.99999394021349108</v>
      </c>
      <c r="N44">
        <v>2</v>
      </c>
      <c r="O44">
        <f t="shared" si="6"/>
        <v>9206656895.6626053</v>
      </c>
      <c r="P44">
        <f t="shared" si="2"/>
        <v>0.99998382487831527</v>
      </c>
      <c r="R44">
        <f t="shared" si="7"/>
        <v>9206656895.6626053</v>
      </c>
      <c r="S44">
        <f t="shared" si="3"/>
        <v>0.99998382487831527</v>
      </c>
      <c r="Z44" s="25">
        <v>80</v>
      </c>
      <c r="AA44" cm="1">
        <f t="array" ref="AA44">INDEX($O$143:$O$162, COLUMN(A1))</f>
        <v>44046307927.683365</v>
      </c>
      <c r="AB44" cm="1">
        <f t="array" ref="AB44">INDEX($O$143:$O$162, COLUMN(B1))</f>
        <v>1304547240.9880323</v>
      </c>
      <c r="AC44" cm="1">
        <f t="array" ref="AC44">INDEX($O$143:$O$162, COLUMN(C1))</f>
        <v>166484594.21103829</v>
      </c>
      <c r="AD44" cm="1">
        <f t="array" ref="AD44">INDEX($O$143:$O$162, COLUMN(D1))</f>
        <v>38637597.20255392</v>
      </c>
      <c r="AE44" cm="1">
        <f t="array" ref="AE44">INDEX($O$143:$O$162, COLUMN(E1))</f>
        <v>12443977.31129517</v>
      </c>
      <c r="AF44" cm="1">
        <f t="array" ref="AF44">INDEX($O$143:$O$162, COLUMN(F1))</f>
        <v>4930879.0739420587</v>
      </c>
      <c r="AG44" cm="1">
        <f t="array" ref="AG44">INDEX($O$143:$O$162, COLUMN(G1))</f>
        <v>2254284.48611998</v>
      </c>
      <c r="AH44" cm="1">
        <f t="array" ref="AH44">INDEX($O$143:$O$162, COLUMN(H1))</f>
        <v>1144354.049191921</v>
      </c>
      <c r="AI44" cm="1">
        <f t="array" ref="AI44">INDEX($O$143:$O$162, COLUMN(I1))</f>
        <v>629272.26852068817</v>
      </c>
      <c r="AJ44" cm="1">
        <f t="array" ref="AJ44">INDEX($O$143:$O$162, COLUMN(J1))</f>
        <v>368561.11288648401</v>
      </c>
      <c r="AK44" cm="1">
        <f t="array" ref="AK44">INDEX($O$143:$O$162, COLUMN(K1))</f>
        <v>227165.45604630251</v>
      </c>
      <c r="AL44" cm="1">
        <f t="array" ref="AL44">INDEX($O$143:$O$162, COLUMN(L1))</f>
        <v>146040.9508583085</v>
      </c>
      <c r="AM44" cm="1">
        <f t="array" ref="AM44">INDEX($O$143:$O$162, COLUMN(M1))</f>
        <v>97268.794529426523</v>
      </c>
      <c r="AN44" cm="1">
        <f t="array" ref="AN44">INDEX($O$143:$O$162, COLUMN(N1))</f>
        <v>66766.563308740413</v>
      </c>
      <c r="AO44" cm="1">
        <f t="array" ref="AO44">INDEX($O$143:$O$162, COLUMN(O1))</f>
        <v>47035.281968326948</v>
      </c>
      <c r="AP44" cm="1">
        <f t="array" ref="AP44">INDEX($O$143:$O$162, COLUMN(P1))</f>
        <v>33893.054556078438</v>
      </c>
      <c r="AQ44" cm="1">
        <f t="array" ref="AQ44">INDEX($O$143:$O$162, COLUMN(Q1))</f>
        <v>24913.122140012689</v>
      </c>
      <c r="AR44" cm="1">
        <f t="array" ref="AR44">INDEX($O$143:$O$162, COLUMN(R1))</f>
        <v>18637.553074295149</v>
      </c>
      <c r="AS44" cm="1">
        <f t="array" ref="AS44">INDEX($O$143:$O$162, COLUMN(S1))</f>
        <v>14163.349664598871</v>
      </c>
      <c r="AT44" cm="1">
        <f t="array" ref="AT44">INDEX($O$143:$O$162, COLUMN(T1))</f>
        <v>10915.906589513572</v>
      </c>
      <c r="AW44" s="26">
        <v>80</v>
      </c>
      <c r="AX44" s="8">
        <f t="shared" si="28"/>
        <v>0.99999661901859072</v>
      </c>
      <c r="AY44" s="8">
        <f t="shared" si="29"/>
        <v>0.99988585196787272</v>
      </c>
      <c r="AZ44" s="8">
        <f t="shared" si="30"/>
        <v>0.9991059027635556</v>
      </c>
      <c r="BA44" s="8">
        <f t="shared" si="31"/>
        <v>0.99615314124952004</v>
      </c>
      <c r="BB44" s="8">
        <f t="shared" si="32"/>
        <v>0.98810408762700519</v>
      </c>
      <c r="BC44" s="8">
        <f t="shared" si="33"/>
        <v>0.97024999752337693</v>
      </c>
      <c r="BD44" s="8">
        <f t="shared" si="34"/>
        <v>0.93607388140671388</v>
      </c>
      <c r="BE44" s="8">
        <f t="shared" si="35"/>
        <v>0.8779772905393407</v>
      </c>
      <c r="BF44" s="8">
        <f t="shared" si="36"/>
        <v>0.78926407467703985</v>
      </c>
      <c r="BG44" s="8">
        <f t="shared" si="37"/>
        <v>0.66760551885710318</v>
      </c>
      <c r="BH44" s="8">
        <f t="shared" si="38"/>
        <v>0.51915259651452406</v>
      </c>
      <c r="BI44" s="8">
        <f t="shared" si="39"/>
        <v>0.36069809041856116</v>
      </c>
      <c r="BJ44" s="8">
        <f t="shared" si="40"/>
        <v>0.21631595832504177</v>
      </c>
      <c r="BK44" s="8">
        <f t="shared" si="41"/>
        <v>0.1074792179632708</v>
      </c>
      <c r="BL44" s="8">
        <f t="shared" si="42"/>
        <v>4.2166302986218651E-2</v>
      </c>
      <c r="BM44" s="8">
        <f t="shared" si="43"/>
        <v>1.235344186165967E-2</v>
      </c>
      <c r="BN44" s="8">
        <f t="shared" si="44"/>
        <v>2.5349718434156763E-3</v>
      </c>
      <c r="BO44" s="8">
        <f t="shared" si="45"/>
        <v>3.3872591153491049E-4</v>
      </c>
      <c r="BP44" s="8">
        <f t="shared" si="46"/>
        <v>2.714108653231308E-5</v>
      </c>
      <c r="BQ44" s="8">
        <f t="shared" si="47"/>
        <v>1.1889065006834398E-6</v>
      </c>
    </row>
    <row r="45" spans="6:69" x14ac:dyDescent="0.3">
      <c r="F45">
        <v>30</v>
      </c>
      <c r="G45">
        <f t="shared" si="4"/>
        <v>303</v>
      </c>
      <c r="H45">
        <f t="shared" si="0"/>
        <v>38.300220877373803</v>
      </c>
      <c r="J45">
        <v>0.3</v>
      </c>
      <c r="K45">
        <f t="shared" si="48"/>
        <v>14871128508.218857</v>
      </c>
      <c r="L45">
        <f t="shared" si="1"/>
        <v>0.99998998601523248</v>
      </c>
      <c r="N45">
        <v>3</v>
      </c>
      <c r="O45">
        <f t="shared" si="6"/>
        <v>1174941381.3130803</v>
      </c>
      <c r="P45">
        <f t="shared" si="2"/>
        <v>0.9998732612833251</v>
      </c>
      <c r="R45">
        <f t="shared" si="7"/>
        <v>1174941381.3130803</v>
      </c>
      <c r="S45">
        <f t="shared" si="3"/>
        <v>0.9998732612833251</v>
      </c>
      <c r="Z45" s="25">
        <v>90</v>
      </c>
      <c r="AA45" cm="1">
        <f t="array" ref="AA45">INDEX($O$163:$O$182, COLUMN(A1))</f>
        <v>31785962515.835758</v>
      </c>
      <c r="AB45" cm="1">
        <f t="array" ref="AB45">INDEX($O$163:$O$182, COLUMN(B1))</f>
        <v>941424869.7135576</v>
      </c>
      <c r="AC45" cm="1">
        <f t="array" ref="AC45">INDEX($O$163:$O$182, COLUMN(C1))</f>
        <v>120143397.25691779</v>
      </c>
      <c r="AD45" cm="1">
        <f t="array" ref="AD45">INDEX($O$163:$O$182, COLUMN(D1))</f>
        <v>27882773.248525798</v>
      </c>
      <c r="AE45" cm="1">
        <f t="array" ref="AE45">INDEX($O$163:$O$182, COLUMN(E1))</f>
        <v>8980180.5185159985</v>
      </c>
      <c r="AF45" cm="1">
        <f t="array" ref="AF45">INDEX($O$163:$O$182, COLUMN(F1))</f>
        <v>3558362.6594031453</v>
      </c>
      <c r="AG45" cm="1">
        <f t="array" ref="AG45">INDEX($O$163:$O$182, COLUMN(G1))</f>
        <v>1626801.553798438</v>
      </c>
      <c r="AH45" cm="1">
        <f t="array" ref="AH45">INDEX($O$163:$O$182, COLUMN(H1))</f>
        <v>825821.65506766003</v>
      </c>
      <c r="AI45" cm="1">
        <f t="array" ref="AI45">INDEX($O$163:$O$182, COLUMN(I1))</f>
        <v>454113.53824010608</v>
      </c>
      <c r="AJ45" cm="1">
        <f t="array" ref="AJ45">INDEX($O$163:$O$182, COLUMN(J1))</f>
        <v>265971.66187546682</v>
      </c>
      <c r="AK45" cm="1">
        <f t="array" ref="AK45">INDEX($O$163:$O$182, COLUMN(K1))</f>
        <v>163933.66460216459</v>
      </c>
      <c r="AL45" cm="1">
        <f t="array" ref="AL45">INDEX($O$163:$O$182, COLUMN(L1))</f>
        <v>105390.26783767383</v>
      </c>
      <c r="AM45" cm="1">
        <f t="array" ref="AM45">INDEX($O$163:$O$182, COLUMN(M1))</f>
        <v>70193.902788607593</v>
      </c>
      <c r="AN45" cm="1">
        <f t="array" ref="AN45">INDEX($O$163:$O$182, COLUMN(N1))</f>
        <v>48182.00613152772</v>
      </c>
      <c r="AO45" cm="1">
        <f t="array" ref="AO45">INDEX($O$163:$O$182, COLUMN(O1))</f>
        <v>33942.951859248817</v>
      </c>
      <c r="AP45" cm="1">
        <f t="array" ref="AP45">INDEX($O$163:$O$182, COLUMN(P1))</f>
        <v>24458.880036789225</v>
      </c>
      <c r="AQ45" cm="1">
        <f t="array" ref="AQ45">INDEX($O$163:$O$182, COLUMN(Q1))</f>
        <v>17978.52314421058</v>
      </c>
      <c r="AR45" cm="1">
        <f t="array" ref="AR45">INDEX($O$163:$O$182, COLUMN(R1))</f>
        <v>13449.766649660785</v>
      </c>
      <c r="AS45" cm="1">
        <f t="array" ref="AS45">INDEX($O$163:$O$182, COLUMN(S1))</f>
        <v>10220.963406893499</v>
      </c>
      <c r="AT45" cm="1">
        <f t="array" ref="AT45">INDEX($O$163:$O$182, COLUMN(T1))</f>
        <v>7877.4502110441053</v>
      </c>
      <c r="AW45" s="26">
        <v>90</v>
      </c>
      <c r="AX45" s="8">
        <f t="shared" si="28"/>
        <v>0.99999531492396765</v>
      </c>
      <c r="AY45" s="8">
        <f t="shared" si="29"/>
        <v>0.99984182675973354</v>
      </c>
      <c r="AZ45" s="8">
        <f t="shared" si="30"/>
        <v>0.9987612490827652</v>
      </c>
      <c r="BA45" s="8">
        <f t="shared" si="31"/>
        <v>0.99467330527245434</v>
      </c>
      <c r="BB45" s="8">
        <f t="shared" si="32"/>
        <v>0.98355355852314641</v>
      </c>
      <c r="BC45" s="8">
        <f t="shared" si="33"/>
        <v>0.95901294193418185</v>
      </c>
      <c r="BD45" s="8">
        <f t="shared" si="34"/>
        <v>0.91252336399243406</v>
      </c>
      <c r="BE45" s="8">
        <f t="shared" si="35"/>
        <v>0.83499504143019154</v>
      </c>
      <c r="BF45" s="8">
        <f t="shared" si="36"/>
        <v>0.72040940564641653</v>
      </c>
      <c r="BG45" s="8">
        <f t="shared" si="37"/>
        <v>0.57126088993937607</v>
      </c>
      <c r="BH45" s="8">
        <f t="shared" si="38"/>
        <v>0.40316223877796603</v>
      </c>
      <c r="BI45" s="8">
        <f t="shared" si="39"/>
        <v>0.24340374825273928</v>
      </c>
      <c r="BJ45" s="8">
        <f t="shared" si="40"/>
        <v>0.11984550926196774</v>
      </c>
      <c r="BK45" s="8">
        <f t="shared" si="41"/>
        <v>4.5466458705330413E-2</v>
      </c>
      <c r="BL45" s="8">
        <f t="shared" si="42"/>
        <v>1.2433491814710079E-2</v>
      </c>
      <c r="BM45" s="8">
        <f t="shared" si="43"/>
        <v>2.2686139649524531E-3</v>
      </c>
      <c r="BN45" s="8">
        <f t="shared" si="44"/>
        <v>2.5272300148469773E-4</v>
      </c>
      <c r="BO45" s="8">
        <f t="shared" si="45"/>
        <v>1.5536615060750427E-5</v>
      </c>
      <c r="BP45" s="8">
        <f t="shared" si="46"/>
        <v>4.7022473418776524E-7</v>
      </c>
      <c r="BQ45" s="8">
        <f t="shared" si="47"/>
        <v>6.1636650879428125E-9</v>
      </c>
    </row>
    <row r="46" spans="6:69" x14ac:dyDescent="0.3">
      <c r="F46">
        <v>30</v>
      </c>
      <c r="G46">
        <f t="shared" si="4"/>
        <v>303</v>
      </c>
      <c r="H46">
        <f t="shared" si="0"/>
        <v>38.300220877373803</v>
      </c>
      <c r="J46">
        <v>0.4</v>
      </c>
      <c r="K46">
        <f t="shared" si="48"/>
        <v>8998983704.1680527</v>
      </c>
      <c r="L46">
        <f t="shared" si="1"/>
        <v>0.99998345160156987</v>
      </c>
      <c r="N46">
        <v>4</v>
      </c>
      <c r="O46">
        <f t="shared" si="6"/>
        <v>272679355.36570626</v>
      </c>
      <c r="P46">
        <f t="shared" si="2"/>
        <v>0.99945401315065063</v>
      </c>
      <c r="R46">
        <f t="shared" si="7"/>
        <v>272679355.36570626</v>
      </c>
      <c r="S46">
        <f t="shared" si="3"/>
        <v>0.99945401315065063</v>
      </c>
      <c r="Z46" s="25">
        <v>100</v>
      </c>
      <c r="AA46" cm="1">
        <f t="array" ref="AA46">INDEX($O$183:$O$202, COLUMN(A1))</f>
        <v>23343054931.358768</v>
      </c>
      <c r="AB46" cm="1">
        <f t="array" ref="AB46">INDEX($O$183:$O$202, COLUMN(B1))</f>
        <v>691365958.684515</v>
      </c>
      <c r="AC46" cm="1">
        <f t="array" ref="AC46">INDEX($O$183:$O$202, COLUMN(C1))</f>
        <v>88231209.623149917</v>
      </c>
      <c r="AD46" cm="1">
        <f t="array" ref="AD46">INDEX($O$183:$O$202, COLUMN(D1))</f>
        <v>20476621.0006916</v>
      </c>
      <c r="AE46" cm="1">
        <f t="array" ref="AE46">INDEX($O$183:$O$202, COLUMN(E1))</f>
        <v>6594887.5083710868</v>
      </c>
      <c r="AF46" cm="1">
        <f t="array" ref="AF46">INDEX($O$183:$O$202, COLUMN(F1))</f>
        <v>2613199.3008788549</v>
      </c>
      <c r="AG46" cm="1">
        <f t="array" ref="AG46">INDEX($O$183:$O$202, COLUMN(G1))</f>
        <v>1194694.6081565986</v>
      </c>
      <c r="AH46" cm="1">
        <f t="array" ref="AH46">INDEX($O$183:$O$202, COLUMN(H1))</f>
        <v>606468.9797625636</v>
      </c>
      <c r="AI46" cm="1">
        <f t="array" ref="AI46">INDEX($O$183:$O$202, COLUMN(I1))</f>
        <v>333493.0399836523</v>
      </c>
      <c r="AJ46" cm="1">
        <f t="array" ref="AJ46">INDEX($O$183:$O$202, COLUMN(J1))</f>
        <v>195324.93660529185</v>
      </c>
      <c r="AK46" cm="1">
        <f t="array" ref="AK46">INDEX($O$183:$O$202, COLUMN(K1))</f>
        <v>120390.01606450662</v>
      </c>
      <c r="AL46" cm="1">
        <f t="array" ref="AL46">INDEX($O$183:$O$202, COLUMN(L1))</f>
        <v>77396.769411648216</v>
      </c>
      <c r="AM46" cm="1">
        <f t="array" ref="AM46">INDEX($O$183:$O$202, COLUMN(M1))</f>
        <v>51549.174508231554</v>
      </c>
      <c r="AN46" cm="1">
        <f t="array" ref="AN46">INDEX($O$183:$O$202, COLUMN(N1))</f>
        <v>35384.022593966874</v>
      </c>
      <c r="AO46" cm="1">
        <f t="array" ref="AO46">INDEX($O$183:$O$202, COLUMN(O1))</f>
        <v>24927.110179160743</v>
      </c>
      <c r="AP46" cm="1">
        <f t="array" ref="AP46">INDEX($O$183:$O$202, COLUMN(P1))</f>
        <v>17962.173710292416</v>
      </c>
      <c r="AQ46" cm="1">
        <f t="array" ref="AQ46">INDEX($O$183:$O$202, COLUMN(Q1))</f>
        <v>13203.112950596706</v>
      </c>
      <c r="AR46" cm="1">
        <f t="array" ref="AR46">INDEX($O$183:$O$202, COLUMN(R1))</f>
        <v>9877.2733894899284</v>
      </c>
      <c r="AS46" cm="1">
        <f t="array" ref="AS46">INDEX($O$183:$O$202, COLUMN(S1))</f>
        <v>7506.0967601549919</v>
      </c>
      <c r="AT46" cm="1">
        <f t="array" ref="AT46">INDEX($O$183:$O$202, COLUMN(T1))</f>
        <v>5785.0616574481719</v>
      </c>
      <c r="AW46" s="26">
        <v>100</v>
      </c>
      <c r="AX46" s="8">
        <f t="shared" si="28"/>
        <v>0.99999362039264306</v>
      </c>
      <c r="AY46" s="8">
        <f t="shared" si="29"/>
        <v>0.99978462352590325</v>
      </c>
      <c r="AZ46" s="8">
        <f t="shared" si="30"/>
        <v>0.9983135854661227</v>
      </c>
      <c r="BA46" s="8">
        <f t="shared" si="31"/>
        <v>0.99275369767713395</v>
      </c>
      <c r="BB46" s="8">
        <f t="shared" si="32"/>
        <v>0.97767191725615776</v>
      </c>
      <c r="BC46" s="8">
        <f t="shared" si="33"/>
        <v>0.94460576667377272</v>
      </c>
      <c r="BD46" s="8">
        <f t="shared" si="34"/>
        <v>0.88280485730935809</v>
      </c>
      <c r="BE46" s="8">
        <f t="shared" si="35"/>
        <v>0.78227218008587918</v>
      </c>
      <c r="BF46" s="8">
        <f t="shared" si="36"/>
        <v>0.63983429457575713</v>
      </c>
      <c r="BG46" s="8">
        <f t="shared" si="37"/>
        <v>0.46653517833061481</v>
      </c>
      <c r="BH46" s="8">
        <f t="shared" si="38"/>
        <v>0.29025958069063162</v>
      </c>
      <c r="BI46" s="8">
        <f t="shared" si="39"/>
        <v>0.146005451638751</v>
      </c>
      <c r="BJ46" s="8">
        <f t="shared" si="40"/>
        <v>5.5637822854502354E-2</v>
      </c>
      <c r="BK46" s="8">
        <f t="shared" si="41"/>
        <v>1.4865990336411387E-2</v>
      </c>
      <c r="BL46" s="8">
        <f t="shared" si="42"/>
        <v>2.5434893310122249E-3</v>
      </c>
      <c r="BM46" s="8">
        <f t="shared" si="43"/>
        <v>2.5082476000604727E-4</v>
      </c>
      <c r="BN46" s="8">
        <f t="shared" si="44"/>
        <v>1.2633504035990948E-5</v>
      </c>
      <c r="BO46" s="8">
        <f t="shared" si="45"/>
        <v>2.8322184425397699E-7</v>
      </c>
      <c r="BP46" s="8">
        <f t="shared" si="46"/>
        <v>2.4190954658927835E-9</v>
      </c>
      <c r="BQ46" s="8">
        <f t="shared" si="47"/>
        <v>6.6118146159081179E-12</v>
      </c>
    </row>
    <row r="47" spans="6:69" x14ac:dyDescent="0.3">
      <c r="F47">
        <v>30</v>
      </c>
      <c r="G47">
        <f t="shared" si="4"/>
        <v>303</v>
      </c>
      <c r="H47">
        <f t="shared" si="0"/>
        <v>38.300220877373803</v>
      </c>
      <c r="J47">
        <v>0.5</v>
      </c>
      <c r="K47">
        <f t="shared" si="48"/>
        <v>5445565725.7702971</v>
      </c>
      <c r="L47">
        <f t="shared" si="1"/>
        <v>0.99997265335297403</v>
      </c>
      <c r="N47">
        <v>5</v>
      </c>
      <c r="O47">
        <f t="shared" si="6"/>
        <v>87821602.716153175</v>
      </c>
      <c r="P47">
        <f t="shared" si="2"/>
        <v>0.99830572656221217</v>
      </c>
      <c r="R47">
        <f t="shared" si="7"/>
        <v>87821602.716153175</v>
      </c>
      <c r="S47">
        <f t="shared" si="3"/>
        <v>0.99830572656221217</v>
      </c>
      <c r="Z47" s="25">
        <v>110</v>
      </c>
      <c r="AA47" cm="1">
        <f t="array" ref="AA47">INDEX($O$203:$O$222, COLUMN(A1))</f>
        <v>17421336215.476387</v>
      </c>
      <c r="AB47" cm="1">
        <f t="array" ref="AB47">INDEX($O$203:$O$222, COLUMN(B1))</f>
        <v>515978686.14864278</v>
      </c>
      <c r="AC47" cm="1">
        <f t="array" ref="AC47">INDEX($O$203:$O$222, COLUMN(C1))</f>
        <v>65848517.773830108</v>
      </c>
      <c r="AD47" cm="1">
        <f t="array" ref="AD47">INDEX($O$203:$O$222, COLUMN(D1))</f>
        <v>15282065.696153</v>
      </c>
      <c r="AE47" cm="1">
        <f t="array" ref="AE47">INDEX($O$203:$O$222, COLUMN(E1))</f>
        <v>4921881.6013766006</v>
      </c>
      <c r="AF47" cm="1">
        <f t="array" ref="AF47">INDEX($O$203:$O$222, COLUMN(F1))</f>
        <v>1950277.0204040471</v>
      </c>
      <c r="AG47" cm="1">
        <f t="array" ref="AG47">INDEX($O$203:$O$222, COLUMN(G1))</f>
        <v>891621.79092303663</v>
      </c>
      <c r="AH47" cm="1">
        <f t="array" ref="AH47">INDEX($O$203:$O$222, COLUMN(H1))</f>
        <v>452618.56392699509</v>
      </c>
      <c r="AI47" cm="1">
        <f t="array" ref="AI47">INDEX($O$203:$O$222, COLUMN(I1))</f>
        <v>248891.77496950398</v>
      </c>
      <c r="AJ47" cm="1">
        <f t="array" ref="AJ47">INDEX($O$203:$O$222, COLUMN(J1))</f>
        <v>145774.46704698849</v>
      </c>
      <c r="AK47" cm="1">
        <f t="array" ref="AK47">INDEX($O$203:$O$222, COLUMN(K1))</f>
        <v>89849.205813623528</v>
      </c>
      <c r="AL47" cm="1">
        <f t="array" ref="AL47">INDEX($O$203:$O$222, COLUMN(L1))</f>
        <v>57762.582741501363</v>
      </c>
      <c r="AM47" cm="1">
        <f t="array" ref="AM47">INDEX($O$203:$O$222, COLUMN(M1))</f>
        <v>38472.063891334554</v>
      </c>
      <c r="AN47" cm="1">
        <f t="array" ref="AN47">INDEX($O$203:$O$222, COLUMN(N1))</f>
        <v>26407.724099444935</v>
      </c>
      <c r="AO47" cm="1">
        <f t="array" ref="AO47">INDEX($O$203:$O$222, COLUMN(O1))</f>
        <v>18603.544762600843</v>
      </c>
      <c r="AP47" cm="1">
        <f t="array" ref="AP47">INDEX($O$203:$O$222, COLUMN(P1))</f>
        <v>13405.489053937647</v>
      </c>
      <c r="AQ47" cm="1">
        <f t="array" ref="AQ47">INDEX($O$203:$O$222, COLUMN(Q1))</f>
        <v>9853.7175395262966</v>
      </c>
      <c r="AR47" cm="1">
        <f t="array" ref="AR47">INDEX($O$203:$O$222, COLUMN(R1))</f>
        <v>7371.5844441302461</v>
      </c>
      <c r="AS47" cm="1">
        <f t="array" ref="AS47">INDEX($O$203:$O$222, COLUMN(S1))</f>
        <v>5601.9332392046263</v>
      </c>
      <c r="AT47" cm="1">
        <f t="array" ref="AT47">INDEX($O$203:$O$222, COLUMN(T1))</f>
        <v>4317.4941950838829</v>
      </c>
      <c r="AW47" s="26">
        <v>110</v>
      </c>
      <c r="AX47" s="8">
        <f t="shared" si="28"/>
        <v>0.99999145189773819</v>
      </c>
      <c r="AY47" s="8">
        <f t="shared" si="29"/>
        <v>0.99971142507302235</v>
      </c>
      <c r="AZ47" s="8">
        <f t="shared" si="30"/>
        <v>0.99774100106475605</v>
      </c>
      <c r="BA47" s="8">
        <f t="shared" si="31"/>
        <v>0.99030257037205227</v>
      </c>
      <c r="BB47" s="8">
        <f t="shared" si="32"/>
        <v>0.97019643146305001</v>
      </c>
      <c r="BC47" s="8">
        <f t="shared" si="33"/>
        <v>0.92648411074713677</v>
      </c>
      <c r="BD47" s="8">
        <f t="shared" si="34"/>
        <v>0.84618142673751251</v>
      </c>
      <c r="BE47" s="8">
        <f t="shared" si="35"/>
        <v>0.71962951423423871</v>
      </c>
      <c r="BF47" s="8">
        <f t="shared" si="36"/>
        <v>0.54972762673576081</v>
      </c>
      <c r="BG47" s="8">
        <f t="shared" si="37"/>
        <v>0.36002634166757252</v>
      </c>
      <c r="BH47" s="8">
        <f t="shared" si="38"/>
        <v>0.19062565442065887</v>
      </c>
      <c r="BI47" s="8">
        <f t="shared" si="39"/>
        <v>7.5915107772933851E-2</v>
      </c>
      <c r="BJ47" s="8">
        <f t="shared" si="40"/>
        <v>2.0840424439724146E-2</v>
      </c>
      <c r="BK47" s="8">
        <f t="shared" si="41"/>
        <v>3.5555014915131036E-3</v>
      </c>
      <c r="BL47" s="8">
        <f t="shared" si="42"/>
        <v>3.3381418737158205E-4</v>
      </c>
      <c r="BM47" s="8">
        <f t="shared" si="43"/>
        <v>1.497868609299439E-5</v>
      </c>
      <c r="BN47" s="8">
        <f t="shared" si="44"/>
        <v>2.7319559833339953E-7</v>
      </c>
      <c r="BO47" s="8">
        <f t="shared" si="45"/>
        <v>1.6843292868744071E-9</v>
      </c>
      <c r="BP47" s="8">
        <f t="shared" si="46"/>
        <v>2.8500633589507724E-12</v>
      </c>
      <c r="BQ47" s="8">
        <f t="shared" si="47"/>
        <v>1.0476473629607921E-15</v>
      </c>
    </row>
    <row r="48" spans="6:69" x14ac:dyDescent="0.3">
      <c r="F48">
        <v>30</v>
      </c>
      <c r="G48">
        <f t="shared" si="4"/>
        <v>303</v>
      </c>
      <c r="H48">
        <f t="shared" si="0"/>
        <v>38.300220877373803</v>
      </c>
      <c r="J48">
        <v>0.6</v>
      </c>
      <c r="K48">
        <f t="shared" si="48"/>
        <v>3295281672.7459202</v>
      </c>
      <c r="L48">
        <f t="shared" si="1"/>
        <v>0.99995480913322388</v>
      </c>
      <c r="N48">
        <v>6</v>
      </c>
      <c r="O48">
        <f t="shared" si="6"/>
        <v>34798978.834530048</v>
      </c>
      <c r="P48">
        <f t="shared" si="2"/>
        <v>0.99572970781800862</v>
      </c>
      <c r="R48">
        <f t="shared" si="7"/>
        <v>34798978.834530048</v>
      </c>
      <c r="S48">
        <f t="shared" si="3"/>
        <v>0.99572970781800862</v>
      </c>
      <c r="Z48" s="25">
        <v>120</v>
      </c>
      <c r="AA48" cm="1">
        <f t="array" ref="AA48">INDEX($O$223:$O$242, COLUMN(A1))</f>
        <v>13196908826.469681</v>
      </c>
      <c r="AB48" cm="1">
        <f t="array" ref="AB48">INDEX($O$223:$O$242, COLUMN(B1))</f>
        <v>390861159.74595183</v>
      </c>
      <c r="AC48" cm="1">
        <f t="array" ref="AC48">INDEX($O$223:$O$242, COLUMN(C1))</f>
        <v>49881184.466632567</v>
      </c>
      <c r="AD48" cm="1">
        <f t="array" ref="AD48">INDEX($O$223:$O$242, COLUMN(D1))</f>
        <v>11576381.121276477</v>
      </c>
      <c r="AE48" cm="1">
        <f t="array" ref="AE48">INDEX($O$223:$O$242, COLUMN(E1))</f>
        <v>3728394.9947733344</v>
      </c>
      <c r="AF48" cm="1">
        <f t="array" ref="AF48">INDEX($O$223:$O$242, COLUMN(F1))</f>
        <v>1477362.4540789772</v>
      </c>
      <c r="AG48" cm="1">
        <f t="array" ref="AG48">INDEX($O$223:$O$242, COLUMN(G1))</f>
        <v>675416.1297944485</v>
      </c>
      <c r="AH48" cm="1">
        <f t="array" ref="AH48">INDEX($O$223:$O$242, COLUMN(H1))</f>
        <v>342864.97013965447</v>
      </c>
      <c r="AI48" cm="1">
        <f t="array" ref="AI48">INDEX($O$223:$O$242, COLUMN(I1))</f>
        <v>188539.04323440179</v>
      </c>
      <c r="AJ48" cm="1">
        <f t="array" ref="AJ48">INDEX($O$223:$O$242, COLUMN(J1))</f>
        <v>110426.22259579129</v>
      </c>
      <c r="AK48" cm="1">
        <f t="array" ref="AK48">INDEX($O$223:$O$242, COLUMN(K1))</f>
        <v>68062.045447452227</v>
      </c>
      <c r="AL48" cm="1">
        <f t="array" ref="AL48">INDEX($O$223:$O$242, COLUMN(L1))</f>
        <v>43755.974202703241</v>
      </c>
      <c r="AM48" cm="1">
        <f t="array" ref="AM48">INDEX($O$223:$O$242, COLUMN(M1))</f>
        <v>29143.133067429582</v>
      </c>
      <c r="AN48" cm="1">
        <f t="array" ref="AN48">INDEX($O$223:$O$242, COLUMN(N1))</f>
        <v>20004.22487371249</v>
      </c>
      <c r="AO48" cm="1">
        <f t="array" ref="AO48">INDEX($O$223:$O$242, COLUMN(O1))</f>
        <v>14092.448538080027</v>
      </c>
      <c r="AP48" cm="1">
        <f t="array" ref="AP48">INDEX($O$223:$O$242, COLUMN(P1))</f>
        <v>10154.847747091411</v>
      </c>
      <c r="AQ48" cm="1">
        <f t="array" ref="AQ48">INDEX($O$223:$O$242, COLUMN(Q1))</f>
        <v>7464.3305405811989</v>
      </c>
      <c r="AR48" cm="1">
        <f t="array" ref="AR48">INDEX($O$223:$O$242, COLUMN(R1))</f>
        <v>5584.0795799226726</v>
      </c>
      <c r="AS48" cm="1">
        <f t="array" ref="AS48">INDEX($O$223:$O$242, COLUMN(S1))</f>
        <v>4243.5437382856253</v>
      </c>
      <c r="AT48" cm="1">
        <f t="array" ref="AT48">INDEX($O$223:$O$242, COLUMN(T1))</f>
        <v>3270.5629778683456</v>
      </c>
      <c r="AW48" s="26">
        <v>120</v>
      </c>
      <c r="AX48" s="8">
        <f t="shared" si="28"/>
        <v>0.9999887156028946</v>
      </c>
      <c r="AY48" s="8">
        <f t="shared" si="29"/>
        <v>0.99961906771683884</v>
      </c>
      <c r="AZ48" s="8">
        <f t="shared" si="30"/>
        <v>0.9970189576945222</v>
      </c>
      <c r="BA48" s="8">
        <f t="shared" si="31"/>
        <v>0.98721826536546864</v>
      </c>
      <c r="BB48" s="8">
        <f t="shared" si="32"/>
        <v>0.96084505132884446</v>
      </c>
      <c r="BC48" s="8">
        <f t="shared" si="33"/>
        <v>0.90411269646054626</v>
      </c>
      <c r="BD48" s="8">
        <f t="shared" si="34"/>
        <v>0.80212863200862528</v>
      </c>
      <c r="BE48" s="8">
        <f t="shared" si="35"/>
        <v>0.64769194822731635</v>
      </c>
      <c r="BF48" s="8">
        <f t="shared" si="36"/>
        <v>0.45390701072086059</v>
      </c>
      <c r="BG48" s="8">
        <f t="shared" si="37"/>
        <v>0.25960534084574383</v>
      </c>
      <c r="BH48" s="8">
        <f t="shared" si="38"/>
        <v>0.11214040315302407</v>
      </c>
      <c r="BI48" s="8">
        <f t="shared" si="39"/>
        <v>3.3259296191633439E-2</v>
      </c>
      <c r="BJ48" s="8">
        <f t="shared" si="40"/>
        <v>6.0363749625254384E-3</v>
      </c>
      <c r="BK48" s="8">
        <f t="shared" si="41"/>
        <v>5.8469079167107268E-4</v>
      </c>
      <c r="BL48" s="8">
        <f t="shared" si="42"/>
        <v>2.5742644213888139E-5</v>
      </c>
      <c r="BM48" s="8">
        <f t="shared" si="43"/>
        <v>4.2766867578522911E-7</v>
      </c>
      <c r="BN48" s="8">
        <f t="shared" si="44"/>
        <v>2.1649144941044198E-9</v>
      </c>
      <c r="BO48" s="8">
        <f t="shared" si="45"/>
        <v>2.6178326461070512E-12</v>
      </c>
      <c r="BP48" s="8">
        <f t="shared" si="46"/>
        <v>5.7433951395383078E-16</v>
      </c>
      <c r="BQ48" s="8">
        <f t="shared" si="47"/>
        <v>1.6790979226150113E-20</v>
      </c>
    </row>
    <row r="49" spans="6:69" x14ac:dyDescent="0.3">
      <c r="F49">
        <v>30</v>
      </c>
      <c r="G49">
        <f t="shared" si="4"/>
        <v>303</v>
      </c>
      <c r="H49">
        <f t="shared" si="0"/>
        <v>38.300220877373803</v>
      </c>
      <c r="J49">
        <v>0.7</v>
      </c>
      <c r="K49">
        <f t="shared" si="48"/>
        <v>1994077722.9714041</v>
      </c>
      <c r="L49">
        <f t="shared" si="1"/>
        <v>0.99992532164736347</v>
      </c>
      <c r="N49">
        <v>7</v>
      </c>
      <c r="O49">
        <f t="shared" si="6"/>
        <v>15909292.631827462</v>
      </c>
      <c r="P49">
        <f t="shared" si="2"/>
        <v>0.99068310670602333</v>
      </c>
      <c r="R49">
        <f t="shared" si="7"/>
        <v>15909292.631827462</v>
      </c>
      <c r="S49">
        <f t="shared" si="3"/>
        <v>0.99068310670602333</v>
      </c>
      <c r="Z49" s="25">
        <v>130</v>
      </c>
      <c r="AA49" cm="1">
        <f t="array" ref="AA49">INDEX($O$243:$O$262, COLUMN(A1))</f>
        <v>10135578481.311954</v>
      </c>
      <c r="AB49" cm="1">
        <f t="array" ref="AB49">INDEX($O$243:$O$262, COLUMN(B1))</f>
        <v>300191810.97589475</v>
      </c>
      <c r="AC49" cm="1">
        <f t="array" ref="AC49">INDEX($O$243:$O$262, COLUMN(C1))</f>
        <v>38310082.046509065</v>
      </c>
      <c r="AD49" cm="1">
        <f t="array" ref="AD49">INDEX($O$243:$O$262, COLUMN(D1))</f>
        <v>8890969.9178139865</v>
      </c>
      <c r="AE49" cm="1">
        <f t="array" ref="AE49">INDEX($O$243:$O$262, COLUMN(E1))</f>
        <v>2863506.9451309452</v>
      </c>
      <c r="AF49" cm="1">
        <f t="array" ref="AF49">INDEX($O$243:$O$262, COLUMN(F1))</f>
        <v>1134653.8265557443</v>
      </c>
      <c r="AG49" cm="1">
        <f t="array" ref="AG49">INDEX($O$243:$O$262, COLUMN(G1))</f>
        <v>518737.62871990097</v>
      </c>
      <c r="AH49" cm="1">
        <f t="array" ref="AH49">INDEX($O$243:$O$262, COLUMN(H1))</f>
        <v>263329.4553322139</v>
      </c>
      <c r="AI49" cm="1">
        <f t="array" ref="AI49">INDEX($O$243:$O$262, COLUMN(I1))</f>
        <v>144803.0212697126</v>
      </c>
      <c r="AJ49" cm="1">
        <f t="array" ref="AJ49">INDEX($O$243:$O$262, COLUMN(J1))</f>
        <v>84810.288547994263</v>
      </c>
      <c r="AK49" cm="1">
        <f t="array" ref="AK49">INDEX($O$243:$O$262, COLUMN(K1))</f>
        <v>52273.468908689501</v>
      </c>
      <c r="AL49" cm="1">
        <f t="array" ref="AL49">INDEX($O$243:$O$262, COLUMN(L1))</f>
        <v>33605.756953342454</v>
      </c>
      <c r="AM49" cm="1">
        <f t="array" ref="AM49">INDEX($O$243:$O$262, COLUMN(M1))</f>
        <v>22382.704637906343</v>
      </c>
      <c r="AN49" cm="1">
        <f t="array" ref="AN49">INDEX($O$243:$O$262, COLUMN(N1))</f>
        <v>15363.77903578839</v>
      </c>
      <c r="AO49" cm="1">
        <f t="array" ref="AO49">INDEX($O$243:$O$262, COLUMN(O1))</f>
        <v>10823.376900586651</v>
      </c>
      <c r="AP49" cm="1">
        <f t="array" ref="AP49">INDEX($O$243:$O$262, COLUMN(P1))</f>
        <v>7799.1943158671138</v>
      </c>
      <c r="AQ49" cm="1">
        <f t="array" ref="AQ49">INDEX($O$243:$O$262, COLUMN(Q1))</f>
        <v>5732.8052348720403</v>
      </c>
      <c r="AR49" cm="1">
        <f t="array" ref="AR49">INDEX($O$243:$O$262, COLUMN(R1))</f>
        <v>4288.7222737097818</v>
      </c>
      <c r="AS49" cm="1">
        <f t="array" ref="AS49">INDEX($O$243:$O$262, COLUMN(S1))</f>
        <v>3259.1549402845822</v>
      </c>
      <c r="AT49" cm="1">
        <f t="array" ref="AT49">INDEX($O$243:$O$262, COLUMN(T1))</f>
        <v>2511.8797269985898</v>
      </c>
      <c r="AW49" s="26">
        <v>130</v>
      </c>
      <c r="AX49" s="8">
        <f t="shared" si="28"/>
        <v>0.99998530731065283</v>
      </c>
      <c r="AY49" s="8">
        <f t="shared" si="29"/>
        <v>0.99950404020916939</v>
      </c>
      <c r="AZ49" s="8">
        <f t="shared" si="30"/>
        <v>0.99612031810456814</v>
      </c>
      <c r="BA49" s="8">
        <f t="shared" si="31"/>
        <v>0.98338991562352307</v>
      </c>
      <c r="BB49" s="8">
        <f t="shared" si="32"/>
        <v>0.94932301911097927</v>
      </c>
      <c r="BC49" s="8">
        <f t="shared" si="33"/>
        <v>0.87700105939271555</v>
      </c>
      <c r="BD49" s="8">
        <f t="shared" si="34"/>
        <v>0.75045053071238266</v>
      </c>
      <c r="BE49" s="8">
        <f t="shared" si="35"/>
        <v>0.56806052057514056</v>
      </c>
      <c r="BF49" s="8">
        <f t="shared" si="36"/>
        <v>0.35756733664838047</v>
      </c>
      <c r="BG49" s="8">
        <f t="shared" si="37"/>
        <v>0.17274840753431384</v>
      </c>
      <c r="BH49" s="8">
        <f t="shared" si="38"/>
        <v>5.7910073492610736E-2</v>
      </c>
      <c r="BI49" s="8">
        <f t="shared" si="39"/>
        <v>1.1898016264810959E-2</v>
      </c>
      <c r="BJ49" s="8">
        <f t="shared" si="40"/>
        <v>1.2896925349383896E-3</v>
      </c>
      <c r="BK49" s="8">
        <f t="shared" si="41"/>
        <v>6.1718444116396851E-5</v>
      </c>
      <c r="BL49" s="8">
        <f t="shared" si="42"/>
        <v>1.0580246575172179E-6</v>
      </c>
      <c r="BM49" s="8">
        <f t="shared" si="43"/>
        <v>5.0987012083952799E-9</v>
      </c>
      <c r="BN49" s="8">
        <f t="shared" si="44"/>
        <v>5.2289462820730188E-12</v>
      </c>
      <c r="BO49" s="8">
        <f t="shared" si="45"/>
        <v>8.3122700978682094E-16</v>
      </c>
      <c r="BP49" s="8">
        <f t="shared" si="46"/>
        <v>1.4317188781771656E-20</v>
      </c>
      <c r="BQ49" s="8">
        <f t="shared" si="47"/>
        <v>1.7877079727138328E-26</v>
      </c>
    </row>
    <row r="50" spans="6:69" x14ac:dyDescent="0.3">
      <c r="F50">
        <v>30</v>
      </c>
      <c r="G50">
        <f t="shared" si="4"/>
        <v>303</v>
      </c>
      <c r="H50">
        <f t="shared" si="0"/>
        <v>38.300220877373803</v>
      </c>
      <c r="J50">
        <v>0.8</v>
      </c>
      <c r="K50">
        <f t="shared" si="48"/>
        <v>1206678627.2438352</v>
      </c>
      <c r="L50">
        <f t="shared" si="1"/>
        <v>0.99987659447372856</v>
      </c>
      <c r="N50">
        <v>8</v>
      </c>
      <c r="O50">
        <f t="shared" si="6"/>
        <v>8076116.1934563313</v>
      </c>
      <c r="P50">
        <f t="shared" si="2"/>
        <v>0.98172941206350783</v>
      </c>
      <c r="R50">
        <f t="shared" si="7"/>
        <v>8076116.1934563313</v>
      </c>
      <c r="S50">
        <f t="shared" si="3"/>
        <v>0.98172941206350783</v>
      </c>
      <c r="Z50" s="25">
        <v>140</v>
      </c>
      <c r="AA50" cm="1">
        <f t="array" ref="AA50">INDEX($O$263:$O$282, COLUMN(A1))</f>
        <v>7884527070.8400507</v>
      </c>
      <c r="AB50" cm="1">
        <f t="array" ref="AB50">INDEX($O$263:$O$282, COLUMN(B1))</f>
        <v>233521003.70472124</v>
      </c>
      <c r="AC50" cm="1">
        <f t="array" ref="AC50">INDEX($O$263:$O$282, COLUMN(C1))</f>
        <v>29801641.765069313</v>
      </c>
      <c r="AD50" cm="1">
        <f t="array" ref="AD50">INDEX($O$263:$O$282, COLUMN(D1))</f>
        <v>6916338.6315129194</v>
      </c>
      <c r="AE50" cm="1">
        <f t="array" ref="AE50">INDEX($O$263:$O$282, COLUMN(E1))</f>
        <v>2227539.1649378263</v>
      </c>
      <c r="AF50" cm="1">
        <f t="array" ref="AF50">INDEX($O$263:$O$282, COLUMN(F1))</f>
        <v>882653.99237015389</v>
      </c>
      <c r="AG50" cm="1">
        <f t="array" ref="AG50">INDEX($O$263:$O$282, COLUMN(G1))</f>
        <v>403529.10135781643</v>
      </c>
      <c r="AH50" cm="1">
        <f t="array" ref="AH50">INDEX($O$263:$O$282, COLUMN(H1))</f>
        <v>204845.5569600265</v>
      </c>
      <c r="AI50" cm="1">
        <f t="array" ref="AI50">INDEX($O$263:$O$282, COLUMN(I1))</f>
        <v>112643.13558871423</v>
      </c>
      <c r="AJ50" cm="1">
        <f t="array" ref="AJ50">INDEX($O$263:$O$282, COLUMN(J1))</f>
        <v>65974.430287856769</v>
      </c>
      <c r="AK50" cm="1">
        <f t="array" ref="AK50">INDEX($O$263:$O$282, COLUMN(K1))</f>
        <v>40663.8438503738</v>
      </c>
      <c r="AL50" cm="1">
        <f t="array" ref="AL50">INDEX($O$263:$O$282, COLUMN(L1))</f>
        <v>26142.119162043389</v>
      </c>
      <c r="AM50" cm="1">
        <f t="array" ref="AM50">INDEX($O$263:$O$282, COLUMN(M1))</f>
        <v>17411.639696893399</v>
      </c>
      <c r="AN50" cm="1">
        <f t="array" ref="AN50">INDEX($O$263:$O$282, COLUMN(N1))</f>
        <v>11951.575525899189</v>
      </c>
      <c r="AO50" cm="1">
        <f t="array" ref="AO50">INDEX($O$263:$O$282, COLUMN(O1))</f>
        <v>8419.5695714779031</v>
      </c>
      <c r="AP50" cm="1">
        <f t="array" ref="AP50">INDEX($O$263:$O$282, COLUMN(P1))</f>
        <v>6067.0398663063224</v>
      </c>
      <c r="AQ50" cm="1">
        <f t="array" ref="AQ50">INDEX($O$263:$O$282, COLUMN(Q1))</f>
        <v>4459.5834514569697</v>
      </c>
      <c r="AR50" cm="1">
        <f t="array" ref="AR50">INDEX($O$263:$O$282, COLUMN(R1))</f>
        <v>3336.2226861275803</v>
      </c>
      <c r="AS50" cm="1">
        <f t="array" ref="AS50">INDEX($O$263:$O$282, COLUMN(S1))</f>
        <v>2535.3161047606691</v>
      </c>
      <c r="AT50" cm="1">
        <f t="array" ref="AT50">INDEX($O$263:$O$282, COLUMN(T1))</f>
        <v>1954.0062506280483</v>
      </c>
      <c r="AW50" s="26">
        <v>140</v>
      </c>
      <c r="AX50" s="8">
        <f t="shared" si="28"/>
        <v>0.99998111255217992</v>
      </c>
      <c r="AY50" s="8">
        <f t="shared" si="29"/>
        <v>0.99936248764169955</v>
      </c>
      <c r="AZ50" s="8">
        <f t="shared" si="30"/>
        <v>0.99501542429928347</v>
      </c>
      <c r="BA50" s="8">
        <f t="shared" si="31"/>
        <v>0.97869852702372784</v>
      </c>
      <c r="BB50" s="8">
        <f t="shared" si="32"/>
        <v>0.93533170921390973</v>
      </c>
      <c r="BC50" s="8">
        <f t="shared" si="33"/>
        <v>0.84474672124332695</v>
      </c>
      <c r="BD50" s="8">
        <f t="shared" si="34"/>
        <v>0.69139497757559498</v>
      </c>
      <c r="BE50" s="8">
        <f t="shared" si="35"/>
        <v>0.48336330580721865</v>
      </c>
      <c r="BF50" s="8">
        <f t="shared" si="36"/>
        <v>0.26658789805768085</v>
      </c>
      <c r="BG50" s="8">
        <f t="shared" si="37"/>
        <v>0.10463908502974149</v>
      </c>
      <c r="BH50" s="8">
        <f t="shared" si="38"/>
        <v>2.5675413432186159E-2</v>
      </c>
      <c r="BI50" s="8">
        <f t="shared" si="39"/>
        <v>3.3575147065528937E-3</v>
      </c>
      <c r="BJ50" s="8">
        <f t="shared" si="40"/>
        <v>1.9298477774078691E-4</v>
      </c>
      <c r="BK50" s="8">
        <f t="shared" si="41"/>
        <v>3.877647575744211E-6</v>
      </c>
      <c r="BL50" s="8">
        <f t="shared" si="42"/>
        <v>2.0819725011371906E-8</v>
      </c>
      <c r="BM50" s="8">
        <f t="shared" si="43"/>
        <v>2.1873554170556504E-11</v>
      </c>
      <c r="BN50" s="8">
        <f t="shared" si="44"/>
        <v>3.1440854458505654E-15</v>
      </c>
      <c r="BO50" s="8">
        <f t="shared" si="45"/>
        <v>4.1139915578092515E-20</v>
      </c>
      <c r="BP50" s="8">
        <f t="shared" si="46"/>
        <v>3.0924842126885427E-26</v>
      </c>
      <c r="BQ50" s="8">
        <f t="shared" si="47"/>
        <v>7.9664608504165687E-34</v>
      </c>
    </row>
    <row r="51" spans="6:69" x14ac:dyDescent="0.3">
      <c r="F51">
        <v>30</v>
      </c>
      <c r="G51">
        <f t="shared" si="4"/>
        <v>303</v>
      </c>
      <c r="H51">
        <f t="shared" si="0"/>
        <v>38.300220877373803</v>
      </c>
      <c r="J51">
        <v>0.9</v>
      </c>
      <c r="K51">
        <f t="shared" si="48"/>
        <v>730198874.7346071</v>
      </c>
      <c r="L51">
        <f t="shared" si="1"/>
        <v>0.99979607635607015</v>
      </c>
      <c r="N51">
        <v>9</v>
      </c>
      <c r="O51">
        <f t="shared" si="6"/>
        <v>4440999.6726813773</v>
      </c>
      <c r="P51">
        <f t="shared" si="2"/>
        <v>0.96702300809657504</v>
      </c>
      <c r="R51">
        <f t="shared" si="7"/>
        <v>4440999.6726813773</v>
      </c>
      <c r="S51">
        <f t="shared" si="3"/>
        <v>0.96702300809657504</v>
      </c>
      <c r="Z51" s="25">
        <v>150</v>
      </c>
      <c r="AA51" cm="1">
        <f t="array" ref="AA51">INDEX($O$283:$O$302, COLUMN(A1))</f>
        <v>6206687321.5028038</v>
      </c>
      <c r="AB51" cm="1">
        <f t="array" ref="AB51">INDEX($O$283:$O$302, COLUMN(B1))</f>
        <v>183827367.19353777</v>
      </c>
      <c r="AC51" cm="1">
        <f t="array" ref="AC51">INDEX($O$283:$O$302, COLUMN(C1))</f>
        <v>23459805.57125752</v>
      </c>
      <c r="AD51" cm="1">
        <f t="array" ref="AD51">INDEX($O$283:$O$302, COLUMN(D1))</f>
        <v>5444530.9033427685</v>
      </c>
      <c r="AE51" cm="1">
        <f t="array" ref="AE51">INDEX($O$283:$O$302, COLUMN(E1))</f>
        <v>1753515.330590083</v>
      </c>
      <c r="AF51" cm="1">
        <f t="array" ref="AF51">INDEX($O$283:$O$302, COLUMN(F1))</f>
        <v>694823.8359125806</v>
      </c>
      <c r="AG51" cm="1">
        <f t="array" ref="AG51">INDEX($O$283:$O$302, COLUMN(G1))</f>
        <v>317657.47453868919</v>
      </c>
      <c r="AH51" cm="1">
        <f t="array" ref="AH51">INDEX($O$283:$O$302, COLUMN(H1))</f>
        <v>161254.10057277099</v>
      </c>
      <c r="AI51" cm="1">
        <f t="array" ref="AI51">INDEX($O$283:$O$302, COLUMN(I1))</f>
        <v>88672.499343490039</v>
      </c>
      <c r="AJ51" cm="1">
        <f t="array" ref="AJ51">INDEX($O$283:$O$302, COLUMN(J1))</f>
        <v>51934.967859446158</v>
      </c>
      <c r="AK51" cm="1">
        <f t="array" ref="AK51">INDEX($O$283:$O$302, COLUMN(K1))</f>
        <v>32010.513985437352</v>
      </c>
      <c r="AL51" cm="1">
        <f t="array" ref="AL51">INDEX($O$283:$O$302, COLUMN(L1))</f>
        <v>20579.035128226504</v>
      </c>
      <c r="AM51" cm="1">
        <f t="array" ref="AM51">INDEX($O$283:$O$302, COLUMN(M1))</f>
        <v>13706.41541113627</v>
      </c>
      <c r="AN51" cm="1">
        <f t="array" ref="AN51">INDEX($O$283:$O$302, COLUMN(N1))</f>
        <v>9408.2614749242384</v>
      </c>
      <c r="AO51" cm="1">
        <f t="array" ref="AO51">INDEX($O$283:$O$302, COLUMN(O1))</f>
        <v>6627.8719373126514</v>
      </c>
      <c r="AP51" cm="1">
        <f t="array" ref="AP51">INDEX($O$283:$O$302, COLUMN(P1))</f>
        <v>4775.9642498435187</v>
      </c>
      <c r="AQ51" cm="1">
        <f t="array" ref="AQ51">INDEX($O$283:$O$302, COLUMN(Q1))</f>
        <v>3510.5770858102496</v>
      </c>
      <c r="AR51" cm="1">
        <f t="array" ref="AR51">INDEX($O$283:$O$302, COLUMN(R1))</f>
        <v>2626.269256437708</v>
      </c>
      <c r="AS51" cm="1">
        <f t="array" ref="AS51">INDEX($O$283:$O$302, COLUMN(S1))</f>
        <v>1995.7968540202307</v>
      </c>
      <c r="AT51" cm="1">
        <f t="array" ref="AT51">INDEX($O$283:$O$302, COLUMN(T1))</f>
        <v>1538.1906502374632</v>
      </c>
      <c r="AW51" s="26">
        <v>150</v>
      </c>
      <c r="AX51" s="8">
        <f t="shared" si="28"/>
        <v>0.99997600681237087</v>
      </c>
      <c r="AY51" s="8">
        <f t="shared" si="29"/>
        <v>0.99919022016185732</v>
      </c>
      <c r="AZ51" s="8">
        <f t="shared" si="30"/>
        <v>0.99367222652156628</v>
      </c>
      <c r="BA51" s="8">
        <f t="shared" si="31"/>
        <v>0.97301846586046103</v>
      </c>
      <c r="BB51" s="8">
        <f t="shared" si="32"/>
        <v>0.91857975548248427</v>
      </c>
      <c r="BC51" s="8">
        <f t="shared" si="33"/>
        <v>0.80708385409461536</v>
      </c>
      <c r="BD51" s="8">
        <f t="shared" si="34"/>
        <v>0.6257484348292196</v>
      </c>
      <c r="BE51" s="8">
        <f t="shared" si="35"/>
        <v>0.39712213573913635</v>
      </c>
      <c r="BF51" s="8">
        <f t="shared" si="36"/>
        <v>0.18647867394679885</v>
      </c>
      <c r="BG51" s="8">
        <f t="shared" si="37"/>
        <v>5.6844704233968611E-2</v>
      </c>
      <c r="BH51" s="8">
        <f t="shared" si="38"/>
        <v>9.5403848219506523E-3</v>
      </c>
      <c r="BI51" s="8">
        <f t="shared" si="39"/>
        <v>7.1983331564525832E-4</v>
      </c>
      <c r="BJ51" s="8">
        <f t="shared" si="40"/>
        <v>1.9115994649021125E-5</v>
      </c>
      <c r="BK51" s="8">
        <f t="shared" si="41"/>
        <v>1.3356979190053126E-7</v>
      </c>
      <c r="BL51" s="8">
        <f t="shared" si="42"/>
        <v>1.7456038934834243E-10</v>
      </c>
      <c r="BM51" s="8">
        <f t="shared" si="43"/>
        <v>2.8721284547139685E-14</v>
      </c>
      <c r="BN51" s="8">
        <f t="shared" si="44"/>
        <v>3.7762851228195447E-19</v>
      </c>
      <c r="BO51" s="8">
        <f t="shared" si="45"/>
        <v>2.3646183429960336E-25</v>
      </c>
      <c r="BP51" s="8">
        <f t="shared" si="46"/>
        <v>3.9294339824546511E-33</v>
      </c>
      <c r="BQ51" s="8">
        <f t="shared" si="47"/>
        <v>8.9899929318578334E-43</v>
      </c>
    </row>
    <row r="52" spans="6:69" x14ac:dyDescent="0.3">
      <c r="F52">
        <v>30</v>
      </c>
      <c r="G52">
        <f t="shared" si="4"/>
        <v>303</v>
      </c>
      <c r="H52">
        <f t="shared" si="0"/>
        <v>38.300220877373803</v>
      </c>
      <c r="J52">
        <v>1</v>
      </c>
      <c r="K52">
        <f t="shared" si="48"/>
        <v>441866114.66015822</v>
      </c>
      <c r="L52">
        <f t="shared" si="1"/>
        <v>0.9996630316220565</v>
      </c>
      <c r="N52">
        <v>10</v>
      </c>
      <c r="O52">
        <f t="shared" si="6"/>
        <v>2601067.7151557147</v>
      </c>
      <c r="P52">
        <f t="shared" si="2"/>
        <v>0.94435472877901794</v>
      </c>
      <c r="R52">
        <f t="shared" si="7"/>
        <v>2601067.7151557147</v>
      </c>
      <c r="S52">
        <f t="shared" si="3"/>
        <v>0.94435472877901794</v>
      </c>
      <c r="Z52" s="25">
        <v>160</v>
      </c>
      <c r="AA52" cm="1">
        <f t="array" ref="AA52">INDEX($O$303:$O$322, COLUMN(A1))</f>
        <v>4940192714.852458</v>
      </c>
      <c r="AB52" cm="1">
        <f t="array" ref="AB52">INDEX($O$303:$O$322, COLUMN(B1))</f>
        <v>146316798.82661426</v>
      </c>
      <c r="AC52" cm="1">
        <f t="array" ref="AC52">INDEX($O$303:$O$322, COLUMN(C1))</f>
        <v>18672756.427323945</v>
      </c>
      <c r="AD52" cm="1">
        <f t="array" ref="AD52">INDEX($O$303:$O$322, COLUMN(D1))</f>
        <v>4333556.7769459561</v>
      </c>
      <c r="AE52" cm="1">
        <f t="array" ref="AE52">INDEX($O$303:$O$322, COLUMN(E1))</f>
        <v>1395704.860393347</v>
      </c>
      <c r="AF52" cm="1">
        <f t="array" ref="AF52">INDEX($O$303:$O$322, COLUMN(F1))</f>
        <v>553042.78667127306</v>
      </c>
      <c r="AG52" cm="1">
        <f t="array" ref="AG52">INDEX($O$303:$O$322, COLUMN(G1))</f>
        <v>252838.44025745057</v>
      </c>
      <c r="AH52" cm="1">
        <f t="array" ref="AH52">INDEX($O$303:$O$322, COLUMN(H1))</f>
        <v>128349.68021182745</v>
      </c>
      <c r="AI52" cm="1">
        <f t="array" ref="AI52">INDEX($O$303:$O$322, COLUMN(I1))</f>
        <v>70578.589281730252</v>
      </c>
      <c r="AJ52" cm="1">
        <f t="array" ref="AJ52">INDEX($O$303:$O$322, COLUMN(J1))</f>
        <v>41337.469824919484</v>
      </c>
      <c r="AK52" cm="1">
        <f t="array" ref="AK52">INDEX($O$303:$O$322, COLUMN(K1))</f>
        <v>25478.665155513405</v>
      </c>
      <c r="AL52" cm="1">
        <f t="array" ref="AL52">INDEX($O$303:$O$322, COLUMN(L1))</f>
        <v>16379.816503232796</v>
      </c>
      <c r="AM52" cm="1">
        <f t="array" ref="AM52">INDEX($O$303:$O$322, COLUMN(M1))</f>
        <v>10909.577050264859</v>
      </c>
      <c r="AN52" cm="1">
        <f t="array" ref="AN52">INDEX($O$303:$O$322, COLUMN(N1))</f>
        <v>7488.47531545927</v>
      </c>
      <c r="AO52" cm="1">
        <f t="array" ref="AO52">INDEX($O$303:$O$322, COLUMN(O1))</f>
        <v>5275.4332486269132</v>
      </c>
      <c r="AP52" cm="1">
        <f t="array" ref="AP52">INDEX($O$303:$O$322, COLUMN(P1))</f>
        <v>3801.4133097589256</v>
      </c>
      <c r="AQ52" cm="1">
        <f t="array" ref="AQ52">INDEX($O$303:$O$322, COLUMN(Q1))</f>
        <v>2794.2324860097165</v>
      </c>
      <c r="AR52" cm="1">
        <f t="array" ref="AR52">INDEX($O$303:$O$322, COLUMN(R1))</f>
        <v>2090.3705271160866</v>
      </c>
      <c r="AS52" cm="1">
        <f t="array" ref="AS52">INDEX($O$303:$O$322, COLUMN(S1))</f>
        <v>1588.5480559650493</v>
      </c>
      <c r="AT52" cm="1">
        <f t="array" ref="AT52">INDEX($O$303:$O$322, COLUMN(T1))</f>
        <v>1224.3178769504004</v>
      </c>
      <c r="AW52" s="26">
        <v>160</v>
      </c>
      <c r="AX52" s="8">
        <f t="shared" si="28"/>
        <v>0.99996985588132825</v>
      </c>
      <c r="AY52" s="8">
        <f t="shared" si="29"/>
        <v>0.99898272623417084</v>
      </c>
      <c r="AZ52" s="8">
        <f t="shared" si="30"/>
        <v>0.9920564626549726</v>
      </c>
      <c r="BA52" s="8">
        <f t="shared" si="31"/>
        <v>0.96621936765146121</v>
      </c>
      <c r="BB52" s="8">
        <f t="shared" si="32"/>
        <v>0.89879637142420599</v>
      </c>
      <c r="BC52" s="8">
        <f t="shared" si="33"/>
        <v>0.76393396894213583</v>
      </c>
      <c r="BD52" s="8">
        <f t="shared" si="34"/>
        <v>0.55488593025181709</v>
      </c>
      <c r="BE52" s="8">
        <f t="shared" si="35"/>
        <v>0.31340224318522242</v>
      </c>
      <c r="BF52" s="8">
        <f t="shared" si="36"/>
        <v>0.12123938082887642</v>
      </c>
      <c r="BG52" s="8">
        <f t="shared" si="37"/>
        <v>2.7254334773447252E-2</v>
      </c>
      <c r="BH52" s="8">
        <f t="shared" si="38"/>
        <v>2.8946525595084736E-3</v>
      </c>
      <c r="BI52" s="8">
        <f t="shared" si="39"/>
        <v>1.1259908808715873E-4</v>
      </c>
      <c r="BJ52" s="8">
        <f t="shared" si="40"/>
        <v>1.1795333091938972E-6</v>
      </c>
      <c r="BK52" s="8">
        <f t="shared" si="41"/>
        <v>2.3087532548934364E-9</v>
      </c>
      <c r="BL52" s="8">
        <f t="shared" si="42"/>
        <v>5.4994335804127678E-13</v>
      </c>
      <c r="BM52" s="8">
        <f t="shared" si="43"/>
        <v>9.6951723105960799E-18</v>
      </c>
      <c r="BN52" s="8">
        <f t="shared" si="44"/>
        <v>7.1459694164162342E-24</v>
      </c>
      <c r="BO52" s="8">
        <f t="shared" si="45"/>
        <v>1.149330236159554E-31</v>
      </c>
      <c r="BP52" s="8">
        <f t="shared" si="46"/>
        <v>1.9348024228436238E-41</v>
      </c>
      <c r="BQ52" s="8">
        <f t="shared" si="47"/>
        <v>1.4947101435372479E-53</v>
      </c>
    </row>
    <row r="53" spans="6:69" x14ac:dyDescent="0.3">
      <c r="F53">
        <v>30</v>
      </c>
      <c r="G53">
        <f t="shared" si="4"/>
        <v>303</v>
      </c>
      <c r="H53">
        <f t="shared" si="0"/>
        <v>38.300220877373803</v>
      </c>
      <c r="J53">
        <v>1.1000000000000001</v>
      </c>
      <c r="K53">
        <f t="shared" si="48"/>
        <v>267386968.18154716</v>
      </c>
      <c r="L53">
        <f t="shared" si="1"/>
        <v>0.99944320944831511</v>
      </c>
      <c r="N53">
        <v>11</v>
      </c>
      <c r="O53">
        <f t="shared" si="6"/>
        <v>1603187.9464794472</v>
      </c>
      <c r="P53">
        <f t="shared" si="2"/>
        <v>0.91129381005071164</v>
      </c>
      <c r="R53">
        <f t="shared" si="7"/>
        <v>1603187.9464794472</v>
      </c>
      <c r="S53">
        <f t="shared" si="3"/>
        <v>0.91129381005071164</v>
      </c>
      <c r="Z53" s="25">
        <v>170</v>
      </c>
      <c r="AA53" cm="1">
        <f t="array" ref="AA53">INDEX($O$323:$O$342, COLUMN(A1))</f>
        <v>3972854651.6357903</v>
      </c>
      <c r="AB53" cm="1">
        <f t="array" ref="AB53">INDEX($O$323:$O$342, COLUMN(B1))</f>
        <v>117666538.20672527</v>
      </c>
      <c r="AC53" cm="1">
        <f t="array" ref="AC53">INDEX($O$323:$O$342, COLUMN(C1))</f>
        <v>15016448.044248328</v>
      </c>
      <c r="AD53" cm="1">
        <f t="array" ref="AD53">INDEX($O$323:$O$342, COLUMN(D1))</f>
        <v>3485003.965059231</v>
      </c>
      <c r="AE53" cm="1">
        <f t="array" ref="AE53">INDEX($O$323:$O$342, COLUMN(E1))</f>
        <v>1122412.1946202242</v>
      </c>
      <c r="AF53" cm="1">
        <f t="array" ref="AF53">INDEX($O$323:$O$342, COLUMN(F1))</f>
        <v>444751.59865220089</v>
      </c>
      <c r="AG53" cm="1">
        <f t="array" ref="AG53">INDEX($O$323:$O$342, COLUMN(G1))</f>
        <v>203330.20014972231</v>
      </c>
      <c r="AH53" cm="1">
        <f t="array" ref="AH53">INDEX($O$323:$O$342, COLUMN(H1))</f>
        <v>103217.55718810127</v>
      </c>
      <c r="AI53" cm="1">
        <f t="array" ref="AI53">INDEX($O$323:$O$342, COLUMN(I1))</f>
        <v>56758.611033696943</v>
      </c>
      <c r="AJ53" cm="1">
        <f t="array" ref="AJ53">INDEX($O$323:$O$342, COLUMN(J1))</f>
        <v>33243.188830881518</v>
      </c>
      <c r="AK53" cm="1">
        <f t="array" ref="AK53">INDEX($O$323:$O$342, COLUMN(K1))</f>
        <v>20489.693261606953</v>
      </c>
      <c r="AL53" cm="1">
        <f t="array" ref="AL53">INDEX($O$323:$O$342, COLUMN(L1))</f>
        <v>13172.488189006326</v>
      </c>
      <c r="AM53" cm="1">
        <f t="array" ref="AM53">INDEX($O$323:$O$342, COLUMN(M1))</f>
        <v>8773.3751359977559</v>
      </c>
      <c r="AN53" cm="1">
        <f t="array" ref="AN53">INDEX($O$323:$O$342, COLUMN(N1))</f>
        <v>6022.1585893275578</v>
      </c>
      <c r="AO53" cm="1">
        <f t="array" ref="AO53">INDEX($O$323:$O$342, COLUMN(O1))</f>
        <v>4242.4518092564895</v>
      </c>
      <c r="AP53" cm="1">
        <f t="array" ref="AP53">INDEX($O$323:$O$342, COLUMN(P1))</f>
        <v>3057.0593946793019</v>
      </c>
      <c r="AQ53" cm="1">
        <f t="array" ref="AQ53">INDEX($O$323:$O$342, COLUMN(Q1))</f>
        <v>2247.0944294178375</v>
      </c>
      <c r="AR53" cm="1">
        <f t="array" ref="AR53">INDEX($O$323:$O$342, COLUMN(R1))</f>
        <v>1681.0555279205398</v>
      </c>
      <c r="AS53" cm="1">
        <f t="array" ref="AS53">INDEX($O$323:$O$342, COLUMN(S1))</f>
        <v>1277.494805924028</v>
      </c>
      <c r="AT53" cm="1">
        <f t="array" ref="AT53">INDEX($O$323:$O$342, COLUMN(T1))</f>
        <v>984.58445920535746</v>
      </c>
      <c r="AW53" s="26">
        <v>170</v>
      </c>
      <c r="AX53" s="8">
        <f t="shared" si="28"/>
        <v>0.99996251632088118</v>
      </c>
      <c r="AY53" s="8">
        <f t="shared" si="29"/>
        <v>0.99873519010028144</v>
      </c>
      <c r="AZ53" s="8">
        <f t="shared" si="30"/>
        <v>0.99013188702219879</v>
      </c>
      <c r="BA53" s="8">
        <f t="shared" si="31"/>
        <v>0.95816847174684006</v>
      </c>
      <c r="BB53" s="8">
        <f t="shared" si="32"/>
        <v>0.87574657314166759</v>
      </c>
      <c r="BC53" s="8">
        <f t="shared" si="33"/>
        <v>0.71545355548506973</v>
      </c>
      <c r="BD53" s="8">
        <f t="shared" si="34"/>
        <v>0.48075152214959754</v>
      </c>
      <c r="BE53" s="8">
        <f t="shared" si="35"/>
        <v>0.23627053418194963</v>
      </c>
      <c r="BF53" s="8">
        <f t="shared" si="36"/>
        <v>7.2530881782667353E-2</v>
      </c>
      <c r="BG53" s="8">
        <f t="shared" si="37"/>
        <v>1.1336647611844768E-2</v>
      </c>
      <c r="BH53" s="8">
        <f t="shared" si="38"/>
        <v>6.9747465485638007E-4</v>
      </c>
      <c r="BI53" s="8">
        <f t="shared" si="39"/>
        <v>1.2306522211741649E-5</v>
      </c>
      <c r="BJ53" s="8">
        <f t="shared" si="40"/>
        <v>4.2486338632915025E-8</v>
      </c>
      <c r="BK53" s="8">
        <f t="shared" si="41"/>
        <v>1.8216841803717038E-11</v>
      </c>
      <c r="BL53" s="8">
        <f t="shared" si="42"/>
        <v>5.6917522354109137E-16</v>
      </c>
      <c r="BM53" s="8">
        <f t="shared" si="43"/>
        <v>6.9823992926697718E-22</v>
      </c>
      <c r="BN53" s="8">
        <f t="shared" si="44"/>
        <v>1.6532108850988521E-29</v>
      </c>
      <c r="BO53" s="8">
        <f t="shared" si="45"/>
        <v>3.3656461751811777E-39</v>
      </c>
      <c r="BP53" s="8">
        <f t="shared" si="46"/>
        <v>2.3630123195765901E-51</v>
      </c>
      <c r="BQ53" s="8">
        <f t="shared" si="47"/>
        <v>2.0523603741930341E-66</v>
      </c>
    </row>
    <row r="54" spans="6:69" x14ac:dyDescent="0.3">
      <c r="F54">
        <v>30</v>
      </c>
      <c r="G54">
        <f t="shared" si="4"/>
        <v>303</v>
      </c>
      <c r="H54">
        <f t="shared" si="0"/>
        <v>38.300220877373803</v>
      </c>
      <c r="J54">
        <v>1.2</v>
      </c>
      <c r="K54">
        <f t="shared" si="48"/>
        <v>161804194.4861683</v>
      </c>
      <c r="L54">
        <f t="shared" si="1"/>
        <v>0.99908005172167247</v>
      </c>
      <c r="N54">
        <v>12</v>
      </c>
      <c r="O54">
        <f t="shared" si="6"/>
        <v>1030663.2715350663</v>
      </c>
      <c r="P54">
        <f t="shared" si="2"/>
        <v>0.86546401717035881</v>
      </c>
      <c r="R54">
        <f t="shared" si="7"/>
        <v>1030663.2715350663</v>
      </c>
      <c r="S54">
        <f t="shared" si="3"/>
        <v>0.86546401717035881</v>
      </c>
      <c r="Z54" s="25">
        <v>180</v>
      </c>
      <c r="AA54" cm="1">
        <f t="array" ref="AA54">INDEX($O$343:$O$362, COLUMN(A1))</f>
        <v>3225818157.9529748</v>
      </c>
      <c r="AB54" cm="1">
        <f t="array" ref="AB54">INDEX($O$343:$O$362, COLUMN(B1))</f>
        <v>95541087.911292344</v>
      </c>
      <c r="AC54" cm="1">
        <f t="array" ref="AC54">INDEX($O$343:$O$362, COLUMN(C1))</f>
        <v>12192827.328618422</v>
      </c>
      <c r="AD54" cm="1">
        <f t="array" ref="AD54">INDEX($O$343:$O$362, COLUMN(D1))</f>
        <v>2829700.5696891993</v>
      </c>
      <c r="AE54" cm="1">
        <f t="array" ref="AE54">INDEX($O$343:$O$362, COLUMN(E1))</f>
        <v>911359.20027252298</v>
      </c>
      <c r="AF54" cm="1">
        <f t="array" ref="AF54">INDEX($O$343:$O$362, COLUMN(F1))</f>
        <v>361122.64568253519</v>
      </c>
      <c r="AG54" cm="1">
        <f t="array" ref="AG54">INDEX($O$343:$O$362, COLUMN(G1))</f>
        <v>165096.96659381254</v>
      </c>
      <c r="AH54" cm="1">
        <f t="array" ref="AH54">INDEX($O$343:$O$362, COLUMN(H1))</f>
        <v>83809.023836256543</v>
      </c>
      <c r="AI54" cm="1">
        <f t="array" ref="AI54">INDEX($O$343:$O$362, COLUMN(I1))</f>
        <v>46085.994617825403</v>
      </c>
      <c r="AJ54" cm="1">
        <f t="array" ref="AJ54">INDEX($O$343:$O$362, COLUMN(J1))</f>
        <v>26992.299382199493</v>
      </c>
      <c r="AK54" cm="1">
        <f t="array" ref="AK54">INDEX($O$343:$O$362, COLUMN(K1))</f>
        <v>16636.909821748428</v>
      </c>
      <c r="AL54" cm="1">
        <f t="array" ref="AL54">INDEX($O$343:$O$362, COLUMN(L1))</f>
        <v>10695.596821802164</v>
      </c>
      <c r="AM54" cm="1">
        <f t="array" ref="AM54">INDEX($O$343:$O$362, COLUMN(M1))</f>
        <v>7123.6718435148077</v>
      </c>
      <c r="AN54" cm="1">
        <f t="array" ref="AN54">INDEX($O$343:$O$362, COLUMN(N1))</f>
        <v>4889.7808329148538</v>
      </c>
      <c r="AO54" cm="1">
        <f t="array" ref="AO54">INDEX($O$343:$O$362, COLUMN(O1))</f>
        <v>3444.7215618384607</v>
      </c>
      <c r="AP54" cm="1">
        <f t="array" ref="AP54">INDEX($O$343:$O$362, COLUMN(P1))</f>
        <v>2482.2246394634203</v>
      </c>
      <c r="AQ54" cm="1">
        <f t="array" ref="AQ54">INDEX($O$343:$O$362, COLUMN(Q1))</f>
        <v>1824.5615932781327</v>
      </c>
      <c r="AR54" cm="1">
        <f t="array" ref="AR54">INDEX($O$343:$O$362, COLUMN(R1))</f>
        <v>1364.9579262257973</v>
      </c>
      <c r="AS54" cm="1">
        <f t="array" ref="AS54">INDEX($O$343:$O$362, COLUMN(S1))</f>
        <v>1037.2808227312235</v>
      </c>
      <c r="AT54" cm="1">
        <f t="array" ref="AT54">INDEX($O$343:$O$362, COLUMN(T1))</f>
        <v>799.44792977392774</v>
      </c>
      <c r="AW54" s="26">
        <v>180</v>
      </c>
      <c r="AX54" s="8">
        <f t="shared" si="28"/>
        <v>0.99995383603312005</v>
      </c>
      <c r="AY54" s="8">
        <f t="shared" si="29"/>
        <v>0.99844251303134357</v>
      </c>
      <c r="AZ54" s="8">
        <f t="shared" si="30"/>
        <v>0.98786054683417923</v>
      </c>
      <c r="BA54" s="8">
        <f t="shared" si="31"/>
        <v>0.94873337221541798</v>
      </c>
      <c r="BB54" s="8">
        <f t="shared" si="32"/>
        <v>0.84924777946394103</v>
      </c>
      <c r="BC54" s="8">
        <f t="shared" si="33"/>
        <v>0.66207219444675303</v>
      </c>
      <c r="BD54" s="8">
        <f t="shared" si="34"/>
        <v>0.40575110003669879</v>
      </c>
      <c r="BE54" s="8">
        <f t="shared" si="35"/>
        <v>0.16916225026629203</v>
      </c>
      <c r="BF54" s="8">
        <f t="shared" si="36"/>
        <v>3.9504113944718693E-2</v>
      </c>
      <c r="BG54" s="8">
        <f t="shared" si="37"/>
        <v>4.0173649141429279E-3</v>
      </c>
      <c r="BH54" s="8">
        <f t="shared" si="38"/>
        <v>1.2958396154088428E-4</v>
      </c>
      <c r="BI54" s="8">
        <f t="shared" si="39"/>
        <v>8.9764902038762677E-7</v>
      </c>
      <c r="BJ54" s="8">
        <f t="shared" si="40"/>
        <v>8.3386509779961977E-10</v>
      </c>
      <c r="BK54" s="8">
        <f t="shared" si="41"/>
        <v>5.9348311622930642E-14</v>
      </c>
      <c r="BL54" s="8">
        <f t="shared" si="42"/>
        <v>1.6782576946560032E-19</v>
      </c>
      <c r="BM54" s="8">
        <f t="shared" si="43"/>
        <v>8.804187545328587E-27</v>
      </c>
      <c r="BN54" s="8">
        <f t="shared" si="44"/>
        <v>3.5731817747029913E-36</v>
      </c>
      <c r="BO54" s="8">
        <f t="shared" si="45"/>
        <v>4.1446588259680988E-48</v>
      </c>
      <c r="BP54" s="8">
        <f t="shared" si="46"/>
        <v>4.4601484155255518E-63</v>
      </c>
      <c r="BQ54" s="8">
        <f t="shared" si="47"/>
        <v>1.2596626940685817E-81</v>
      </c>
    </row>
    <row r="55" spans="6:69" x14ac:dyDescent="0.3">
      <c r="F55">
        <v>30</v>
      </c>
      <c r="G55">
        <f t="shared" si="4"/>
        <v>303</v>
      </c>
      <c r="H55">
        <f t="shared" si="0"/>
        <v>38.300220877373803</v>
      </c>
      <c r="J55">
        <v>1.3</v>
      </c>
      <c r="K55">
        <f t="shared" si="48"/>
        <v>97912764.901623651</v>
      </c>
      <c r="L55">
        <f t="shared" si="1"/>
        <v>0.99848021033901535</v>
      </c>
      <c r="N55">
        <v>13</v>
      </c>
      <c r="O55">
        <f t="shared" si="6"/>
        <v>686460.70433515962</v>
      </c>
      <c r="P55">
        <f t="shared" si="2"/>
        <v>0.80497918731571372</v>
      </c>
      <c r="R55">
        <f t="shared" si="7"/>
        <v>686460.70433515962</v>
      </c>
      <c r="S55">
        <f t="shared" si="3"/>
        <v>0.80497918731571372</v>
      </c>
      <c r="Z55" s="25">
        <v>190</v>
      </c>
      <c r="AA55" cm="1">
        <f t="array" ref="AA55">INDEX($O$363:$O$382, COLUMN(A1))</f>
        <v>2642924567.5259361</v>
      </c>
      <c r="AB55" cm="1">
        <f t="array" ref="AB55">INDEX($O$363:$O$382, COLUMN(B1))</f>
        <v>78277161.35405013</v>
      </c>
      <c r="AC55" cm="1">
        <f t="array" ref="AC55">INDEX($O$363:$O$382, COLUMN(C1))</f>
        <v>9989627.8452522196</v>
      </c>
      <c r="AD55" cm="1">
        <f t="array" ref="AD55">INDEX($O$363:$O$382, COLUMN(D1))</f>
        <v>2318383.9845205387</v>
      </c>
      <c r="AE55" cm="1">
        <f t="array" ref="AE55">INDEX($O$363:$O$382, COLUMN(E1))</f>
        <v>746679.91259913845</v>
      </c>
      <c r="AF55" cm="1">
        <f t="array" ref="AF55">INDEX($O$363:$O$382, COLUMN(F1))</f>
        <v>295869.09907221422</v>
      </c>
      <c r="AG55" cm="1">
        <f t="array" ref="AG55">INDEX($O$363:$O$382, COLUMN(G1))</f>
        <v>135264.546130426</v>
      </c>
      <c r="AH55" cm="1">
        <f t="array" ref="AH55">INDEX($O$363:$O$382, COLUMN(H1))</f>
        <v>68665.038520884351</v>
      </c>
      <c r="AI55" cm="1">
        <f t="array" ref="AI55">INDEX($O$363:$O$382, COLUMN(I1))</f>
        <v>37758.423268226397</v>
      </c>
      <c r="AJ55" cm="1">
        <f t="array" ref="AJ55">INDEX($O$363:$O$382, COLUMN(J1))</f>
        <v>22114.889208913104</v>
      </c>
      <c r="AK55" cm="1">
        <f t="array" ref="AK55">INDEX($O$363:$O$382, COLUMN(K1))</f>
        <v>13630.680820370488</v>
      </c>
      <c r="AL55" cm="1">
        <f t="array" ref="AL55">INDEX($O$363:$O$382, COLUMN(L1))</f>
        <v>8762.9414370434388</v>
      </c>
      <c r="AM55" cm="1">
        <f t="array" ref="AM55">INDEX($O$363:$O$382, COLUMN(M1))</f>
        <v>5836.4502908513059</v>
      </c>
      <c r="AN55" cm="1">
        <f t="array" ref="AN55">INDEX($O$363:$O$382, COLUMN(N1))</f>
        <v>4006.2152484531011</v>
      </c>
      <c r="AO55" cm="1">
        <f t="array" ref="AO55">INDEX($O$363:$O$382, COLUMN(O1))</f>
        <v>2822.2729237305939</v>
      </c>
      <c r="AP55" cm="1">
        <f t="array" ref="AP55">INDEX($O$363:$O$382, COLUMN(P1))</f>
        <v>2033.6956891330506</v>
      </c>
      <c r="AQ55" cm="1">
        <f t="array" ref="AQ55">INDEX($O$363:$O$382, COLUMN(Q1))</f>
        <v>1494.8699597187085</v>
      </c>
      <c r="AR55" cm="1">
        <f t="array" ref="AR55">INDEX($O$363:$O$382, COLUMN(R1))</f>
        <v>1118.3150011005685</v>
      </c>
      <c r="AS55" cm="1">
        <f t="array" ref="AS55">INDEX($O$363:$O$382, COLUMN(S1))</f>
        <v>849.84795657531004</v>
      </c>
      <c r="AT55" cm="1">
        <f t="array" ref="AT55">INDEX($O$363:$O$382, COLUMN(T1))</f>
        <v>654.99060101950863</v>
      </c>
      <c r="AW55" s="26">
        <v>190</v>
      </c>
      <c r="AX55" s="8">
        <f t="shared" si="28"/>
        <v>0.99994365491685411</v>
      </c>
      <c r="AY55" s="8">
        <f t="shared" si="29"/>
        <v>0.99809933792623018</v>
      </c>
      <c r="AZ55" s="8">
        <f t="shared" si="30"/>
        <v>0.98520310386292642</v>
      </c>
      <c r="BA55" s="8">
        <f t="shared" si="31"/>
        <v>0.93778515863048051</v>
      </c>
      <c r="BB55" s="8">
        <f t="shared" si="32"/>
        <v>0.81918700288883017</v>
      </c>
      <c r="BC55" s="8">
        <f t="shared" si="33"/>
        <v>0.60451385012609093</v>
      </c>
      <c r="BD55" s="8">
        <f t="shared" si="34"/>
        <v>0.33255378212527864</v>
      </c>
      <c r="BE55" s="8">
        <f t="shared" si="35"/>
        <v>0.11431593684465795</v>
      </c>
      <c r="BF55" s="8">
        <f t="shared" si="36"/>
        <v>1.9370177821313925E-2</v>
      </c>
      <c r="BG55" s="8">
        <f t="shared" si="37"/>
        <v>1.189853891542639E-3</v>
      </c>
      <c r="BH55" s="8">
        <f t="shared" si="38"/>
        <v>1.799614427661995E-5</v>
      </c>
      <c r="BI55" s="8">
        <f t="shared" si="39"/>
        <v>4.1636291929609163E-8</v>
      </c>
      <c r="BJ55" s="8">
        <f t="shared" si="40"/>
        <v>8.2938319746247354E-12</v>
      </c>
      <c r="BK55" s="8">
        <f t="shared" si="41"/>
        <v>7.1829147860517772E-17</v>
      </c>
      <c r="BL55" s="8">
        <f t="shared" si="42"/>
        <v>1.2134602039471477E-23</v>
      </c>
      <c r="BM55" s="8">
        <f t="shared" si="43"/>
        <v>1.5784260951292226E-32</v>
      </c>
      <c r="BN55" s="8">
        <f t="shared" si="44"/>
        <v>5.4359734041434592E-44</v>
      </c>
      <c r="BO55" s="8">
        <f t="shared" si="45"/>
        <v>1.4700675980007176E-58</v>
      </c>
      <c r="BP55" s="8">
        <f t="shared" si="46"/>
        <v>7.906678015964164E-77</v>
      </c>
      <c r="BQ55" s="8">
        <f t="shared" si="47"/>
        <v>1.8110069720290192E-99</v>
      </c>
    </row>
    <row r="56" spans="6:69" x14ac:dyDescent="0.3">
      <c r="F56">
        <v>30</v>
      </c>
      <c r="G56">
        <f t="shared" si="4"/>
        <v>303</v>
      </c>
      <c r="H56">
        <f t="shared" si="0"/>
        <v>38.300220877373803</v>
      </c>
      <c r="J56">
        <v>1.4</v>
      </c>
      <c r="K56">
        <f t="shared" si="48"/>
        <v>59250068.028985314</v>
      </c>
      <c r="L56">
        <f t="shared" si="1"/>
        <v>0.99748974114672162</v>
      </c>
      <c r="N56">
        <v>14</v>
      </c>
      <c r="O56">
        <f t="shared" si="6"/>
        <v>471195.539090292</v>
      </c>
      <c r="P56">
        <f t="shared" si="2"/>
        <v>0.72902508699898561</v>
      </c>
      <c r="R56">
        <f t="shared" si="7"/>
        <v>471195.539090292</v>
      </c>
      <c r="S56">
        <f t="shared" si="3"/>
        <v>0.72902508699898561</v>
      </c>
      <c r="Z56" s="25">
        <v>200</v>
      </c>
      <c r="AA56" cm="1">
        <f t="array" ref="AA56">INDEX($O$383:$O$402, COLUMN(A1))</f>
        <v>2183682478.7733307</v>
      </c>
      <c r="AB56" cm="1">
        <f t="array" ref="AB56">INDEX($O$383:$O$402, COLUMN(B1))</f>
        <v>64675499.194047555</v>
      </c>
      <c r="AC56" cm="1">
        <f t="array" ref="AC56">INDEX($O$383:$O$402, COLUMN(C1))</f>
        <v>8253801.7025449527</v>
      </c>
      <c r="AD56" cm="1">
        <f t="array" ref="AD56">INDEX($O$383:$O$402, COLUMN(D1))</f>
        <v>1915534.990393372</v>
      </c>
      <c r="AE56" cm="1">
        <f t="array" ref="AE56">INDEX($O$383:$O$402, COLUMN(E1))</f>
        <v>616934.6875915858</v>
      </c>
      <c r="AF56" cm="1">
        <f t="array" ref="AF56">INDEX($O$383:$O$402, COLUMN(F1))</f>
        <v>244458.04303043341</v>
      </c>
      <c r="AG56" cm="1">
        <f t="array" ref="AG56">INDEX($O$383:$O$402, COLUMN(G1))</f>
        <v>111760.59393202471</v>
      </c>
      <c r="AH56" cm="1">
        <f t="array" ref="AH56">INDEX($O$383:$O$402, COLUMN(H1))</f>
        <v>56733.606159147232</v>
      </c>
      <c r="AI56" cm="1">
        <f t="array" ref="AI56">INDEX($O$383:$O$402, COLUMN(I1))</f>
        <v>31197.412264443712</v>
      </c>
      <c r="AJ56" cm="1">
        <f t="array" ref="AJ56">INDEX($O$383:$O$402, COLUMN(J1))</f>
        <v>18272.143170065348</v>
      </c>
      <c r="AK56" cm="1">
        <f t="array" ref="AK56">INDEX($O$383:$O$402, COLUMN(K1))</f>
        <v>11262.174958348533</v>
      </c>
      <c r="AL56" cm="1">
        <f t="array" ref="AL56">INDEX($O$383:$O$402, COLUMN(L1))</f>
        <v>7240.2678130543227</v>
      </c>
      <c r="AM56" cm="1">
        <f t="array" ref="AM56">INDEX($O$383:$O$402, COLUMN(M1))</f>
        <v>4822.2920907251491</v>
      </c>
      <c r="AN56" cm="1">
        <f t="array" ref="AN56">INDEX($O$383:$O$402, COLUMN(N1))</f>
        <v>3310.0838940821309</v>
      </c>
      <c r="AO56" cm="1">
        <f t="array" ref="AO56">INDEX($O$383:$O$402, COLUMN(O1))</f>
        <v>2331.8667545763769</v>
      </c>
      <c r="AP56" cm="1">
        <f t="array" ref="AP56">INDEX($O$383:$O$402, COLUMN(P1))</f>
        <v>1680.314942803647</v>
      </c>
      <c r="AQ56" cm="1">
        <f t="array" ref="AQ56">INDEX($O$383:$O$402, COLUMN(Q1))</f>
        <v>1235.1171044348409</v>
      </c>
      <c r="AR56" cm="1">
        <f t="array" ref="AR56">INDEX($O$383:$O$402, COLUMN(R1))</f>
        <v>923.99340626611524</v>
      </c>
      <c r="AS56" cm="1">
        <f t="array" ref="AS56">INDEX($O$383:$O$402, COLUMN(S1))</f>
        <v>702.17595885910998</v>
      </c>
      <c r="AT56" cm="1">
        <f t="array" ref="AT56">INDEX($O$383:$O$402, COLUMN(T1))</f>
        <v>541.17757153637649</v>
      </c>
      <c r="AW56" s="26">
        <v>200</v>
      </c>
      <c r="AX56" s="8">
        <f t="shared" si="28"/>
        <v>0.99993180559736383</v>
      </c>
      <c r="AY56" s="8">
        <f t="shared" si="29"/>
        <v>0.99770007678563022</v>
      </c>
      <c r="AZ56" s="8">
        <f t="shared" si="30"/>
        <v>0.98211919825827565</v>
      </c>
      <c r="BA56" s="8">
        <f t="shared" si="31"/>
        <v>0.92520190090485388</v>
      </c>
      <c r="BB56" s="8">
        <f t="shared" si="32"/>
        <v>0.78553758162367526</v>
      </c>
      <c r="BC56" s="8">
        <f t="shared" si="33"/>
        <v>0.54379426524623609</v>
      </c>
      <c r="BD56" s="8">
        <f t="shared" si="34"/>
        <v>0.26381923424716042</v>
      </c>
      <c r="BE56" s="8">
        <f t="shared" si="35"/>
        <v>7.2447056035542787E-2</v>
      </c>
      <c r="BF56" s="8">
        <f t="shared" si="36"/>
        <v>8.4509802698938836E-3</v>
      </c>
      <c r="BG56" s="8">
        <f t="shared" si="37"/>
        <v>2.8870323347505398E-4</v>
      </c>
      <c r="BH56" s="8">
        <f t="shared" si="38"/>
        <v>1.8084812870841871E-6</v>
      </c>
      <c r="BI56" s="8">
        <f t="shared" si="39"/>
        <v>1.1676181450862299E-9</v>
      </c>
      <c r="BJ56" s="8">
        <f t="shared" si="40"/>
        <v>3.875253542707535E-14</v>
      </c>
      <c r="BK56" s="8">
        <f t="shared" si="41"/>
        <v>2.8918764999490763E-20</v>
      </c>
      <c r="BL56" s="8">
        <f t="shared" si="42"/>
        <v>1.8393006386413049E-28</v>
      </c>
      <c r="BM56" s="8">
        <f t="shared" si="43"/>
        <v>3.2367698968409937E-39</v>
      </c>
      <c r="BN56" s="8">
        <f t="shared" si="44"/>
        <v>4.3294769686515867E-53</v>
      </c>
      <c r="BO56" s="8">
        <f t="shared" si="45"/>
        <v>1.011035668241552E-70</v>
      </c>
      <c r="BP56" s="8">
        <f t="shared" si="46"/>
        <v>7.8210673680690667E-93</v>
      </c>
      <c r="BQ56" s="8">
        <f t="shared" si="47"/>
        <v>3.1034366692225465E-120</v>
      </c>
    </row>
    <row r="57" spans="6:69" x14ac:dyDescent="0.3">
      <c r="F57">
        <v>30</v>
      </c>
      <c r="G57">
        <f t="shared" si="4"/>
        <v>303</v>
      </c>
      <c r="H57">
        <f t="shared" si="0"/>
        <v>38.300220877373803</v>
      </c>
      <c r="J57">
        <v>1.5</v>
      </c>
      <c r="K57">
        <f t="shared" si="48"/>
        <v>35854064.227136977</v>
      </c>
      <c r="L57">
        <f t="shared" si="1"/>
        <v>0.99585510984502723</v>
      </c>
      <c r="N57">
        <v>15</v>
      </c>
      <c r="O57">
        <f t="shared" si="6"/>
        <v>331944.82305229525</v>
      </c>
      <c r="P57">
        <f t="shared" si="2"/>
        <v>0.63850308172884185</v>
      </c>
      <c r="R57">
        <f t="shared" si="7"/>
        <v>331944.82305229525</v>
      </c>
      <c r="S57">
        <f t="shared" si="3"/>
        <v>0.63850308172884185</v>
      </c>
    </row>
    <row r="58" spans="6:69" x14ac:dyDescent="0.3">
      <c r="F58">
        <v>30</v>
      </c>
      <c r="G58">
        <f t="shared" si="4"/>
        <v>303</v>
      </c>
      <c r="H58">
        <f t="shared" si="0"/>
        <v>38.300220877373803</v>
      </c>
      <c r="J58">
        <v>1.6</v>
      </c>
      <c r="K58">
        <f t="shared" si="48"/>
        <v>21696412.584282413</v>
      </c>
      <c r="L58">
        <f t="shared" si="1"/>
        <v>0.99315969459801201</v>
      </c>
      <c r="N58">
        <v>16</v>
      </c>
      <c r="O58">
        <f t="shared" si="6"/>
        <v>239195.41940654881</v>
      </c>
      <c r="P58">
        <f t="shared" si="2"/>
        <v>0.53655448099123837</v>
      </c>
      <c r="R58">
        <f t="shared" si="7"/>
        <v>239195.41940654881</v>
      </c>
      <c r="S58">
        <f t="shared" si="3"/>
        <v>0.53655448099123837</v>
      </c>
    </row>
    <row r="59" spans="6:69" x14ac:dyDescent="0.3">
      <c r="F59">
        <v>30</v>
      </c>
      <c r="G59">
        <f t="shared" si="4"/>
        <v>303</v>
      </c>
      <c r="H59">
        <f t="shared" si="0"/>
        <v>38.300220877373803</v>
      </c>
      <c r="J59">
        <v>1.7</v>
      </c>
      <c r="K59">
        <f t="shared" si="48"/>
        <v>13129175.985330056</v>
      </c>
      <c r="L59">
        <f t="shared" si="1"/>
        <v>0.98872140881762993</v>
      </c>
      <c r="N59">
        <v>17</v>
      </c>
      <c r="O59">
        <f t="shared" si="6"/>
        <v>175820.82161249747</v>
      </c>
      <c r="P59">
        <f t="shared" si="2"/>
        <v>0.42869967723958935</v>
      </c>
      <c r="R59">
        <f t="shared" si="7"/>
        <v>175820.82161249747</v>
      </c>
      <c r="S59">
        <f t="shared" si="3"/>
        <v>0.42869967723958935</v>
      </c>
    </row>
    <row r="60" spans="6:69" x14ac:dyDescent="0.3">
      <c r="F60">
        <v>30</v>
      </c>
      <c r="G60">
        <f t="shared" si="4"/>
        <v>303</v>
      </c>
      <c r="H60">
        <f t="shared" si="0"/>
        <v>38.300220877373803</v>
      </c>
      <c r="J60">
        <v>1.8</v>
      </c>
      <c r="K60">
        <f t="shared" si="48"/>
        <v>7944873.8995054597</v>
      </c>
      <c r="L60">
        <f t="shared" si="1"/>
        <v>0.98143041774700701</v>
      </c>
      <c r="N60">
        <v>18</v>
      </c>
      <c r="O60">
        <f t="shared" si="6"/>
        <v>131531.88411925928</v>
      </c>
      <c r="P60">
        <f t="shared" si="2"/>
        <v>0.32232434267990395</v>
      </c>
      <c r="R60">
        <f t="shared" si="7"/>
        <v>131531.88411925928</v>
      </c>
      <c r="S60">
        <f t="shared" si="3"/>
        <v>0.32232434267990395</v>
      </c>
    </row>
    <row r="61" spans="6:69" x14ac:dyDescent="0.3">
      <c r="F61">
        <v>30</v>
      </c>
      <c r="G61">
        <f t="shared" si="4"/>
        <v>303</v>
      </c>
      <c r="H61">
        <f t="shared" si="0"/>
        <v>38.300220877373803</v>
      </c>
      <c r="J61">
        <v>1.9</v>
      </c>
      <c r="K61">
        <f t="shared" si="48"/>
        <v>4807691.0043381145</v>
      </c>
      <c r="L61">
        <f t="shared" si="1"/>
        <v>0.96949945310722108</v>
      </c>
      <c r="N61">
        <v>19</v>
      </c>
      <c r="O61">
        <f t="shared" si="6"/>
        <v>99955.828933032943</v>
      </c>
      <c r="P61">
        <f t="shared" si="2"/>
        <v>0.22540464129603438</v>
      </c>
      <c r="R61">
        <f t="shared" si="7"/>
        <v>99955.828933032943</v>
      </c>
      <c r="S61">
        <f t="shared" si="3"/>
        <v>0.22540464129603438</v>
      </c>
    </row>
    <row r="62" spans="6:69" x14ac:dyDescent="0.3">
      <c r="F62">
        <v>30</v>
      </c>
      <c r="G62">
        <f t="shared" si="4"/>
        <v>303</v>
      </c>
      <c r="H62">
        <f t="shared" si="0"/>
        <v>38.300220877373803</v>
      </c>
      <c r="J62">
        <v>2</v>
      </c>
      <c r="K62">
        <f t="shared" si="48"/>
        <v>2909283.7829222572</v>
      </c>
      <c r="L62">
        <f t="shared" si="1"/>
        <v>0.95010017153461157</v>
      </c>
      <c r="N62">
        <v>20</v>
      </c>
      <c r="O62">
        <f t="shared" si="6"/>
        <v>77037.46059716359</v>
      </c>
      <c r="P62">
        <f t="shared" si="2"/>
        <v>0.14470103024830136</v>
      </c>
      <c r="R62">
        <f t="shared" si="7"/>
        <v>77037.46059716359</v>
      </c>
      <c r="S62">
        <f t="shared" si="3"/>
        <v>0.14470103024830136</v>
      </c>
    </row>
    <row r="63" spans="6:69" x14ac:dyDescent="0.3">
      <c r="F63">
        <v>40</v>
      </c>
      <c r="G63">
        <f t="shared" si="4"/>
        <v>313</v>
      </c>
      <c r="H63">
        <f t="shared" si="0"/>
        <v>37.076571648064736</v>
      </c>
      <c r="J63">
        <v>0.1</v>
      </c>
      <c r="K63">
        <f t="shared" si="48"/>
        <v>21351806381.363914</v>
      </c>
      <c r="L63">
        <f t="shared" si="1"/>
        <v>0.99999302543878421</v>
      </c>
      <c r="N63">
        <v>1</v>
      </c>
      <c r="O63">
        <f t="shared" si="6"/>
        <v>200047300321.57388</v>
      </c>
      <c r="P63">
        <f t="shared" si="2"/>
        <v>0.99999925557633451</v>
      </c>
      <c r="R63">
        <f t="shared" si="7"/>
        <v>21351806381.363914</v>
      </c>
      <c r="S63">
        <f t="shared" si="3"/>
        <v>0.99999302543878421</v>
      </c>
    </row>
    <row r="64" spans="6:69" x14ac:dyDescent="0.3">
      <c r="F64">
        <v>40</v>
      </c>
      <c r="G64">
        <f t="shared" si="4"/>
        <v>313</v>
      </c>
      <c r="H64">
        <f t="shared" si="0"/>
        <v>37.076571648064736</v>
      </c>
      <c r="J64">
        <v>0.2</v>
      </c>
      <c r="K64">
        <f t="shared" si="48"/>
        <v>12920644023.367315</v>
      </c>
      <c r="L64">
        <f t="shared" si="1"/>
        <v>0.99998847432515536</v>
      </c>
      <c r="N64">
        <v>2</v>
      </c>
      <c r="O64">
        <f t="shared" si="6"/>
        <v>5924926877.6416922</v>
      </c>
      <c r="P64">
        <f t="shared" si="2"/>
        <v>0.99997486582846051</v>
      </c>
      <c r="R64">
        <f t="shared" si="7"/>
        <v>5924926877.6416922</v>
      </c>
      <c r="S64">
        <f t="shared" si="3"/>
        <v>0.99997486582846051</v>
      </c>
    </row>
    <row r="65" spans="6:92" x14ac:dyDescent="0.3">
      <c r="F65">
        <v>40</v>
      </c>
      <c r="G65">
        <f t="shared" si="4"/>
        <v>313</v>
      </c>
      <c r="H65">
        <f t="shared" si="0"/>
        <v>37.076571648064736</v>
      </c>
      <c r="J65">
        <v>0.3</v>
      </c>
      <c r="K65">
        <f t="shared" ref="K65:K67" si="49">$C$7*EXP($C$5*H65)*EXP(-$C$6*J65)</f>
        <v>7818684705.022768</v>
      </c>
      <c r="L65">
        <f t="shared" si="1"/>
        <v>0.99998095349954486</v>
      </c>
      <c r="N65">
        <v>3</v>
      </c>
      <c r="O65">
        <f t="shared" si="6"/>
        <v>756131335.04246962</v>
      </c>
      <c r="P65">
        <f t="shared" si="2"/>
        <v>0.99980306948122466</v>
      </c>
      <c r="R65">
        <f t="shared" si="7"/>
        <v>756131335.04246962</v>
      </c>
      <c r="S65">
        <f t="shared" si="3"/>
        <v>0.99980306948122466</v>
      </c>
    </row>
    <row r="66" spans="6:92" x14ac:dyDescent="0.3">
      <c r="F66">
        <v>40</v>
      </c>
      <c r="G66">
        <f t="shared" si="4"/>
        <v>313</v>
      </c>
      <c r="H66">
        <f t="shared" si="0"/>
        <v>37.076571648064736</v>
      </c>
      <c r="J66">
        <v>0.4</v>
      </c>
      <c r="K66">
        <f t="shared" si="49"/>
        <v>4731329986.8023987</v>
      </c>
      <c r="L66">
        <f t="shared" si="1"/>
        <v>0.99996852520183765</v>
      </c>
      <c r="N66">
        <v>4</v>
      </c>
      <c r="O66">
        <f t="shared" si="6"/>
        <v>175482290.68310553</v>
      </c>
      <c r="P66">
        <f t="shared" si="2"/>
        <v>0.99915172734465107</v>
      </c>
      <c r="R66">
        <f t="shared" si="7"/>
        <v>175482290.68310553</v>
      </c>
      <c r="S66">
        <f t="shared" si="3"/>
        <v>0.99915172734465107</v>
      </c>
    </row>
    <row r="67" spans="6:92" x14ac:dyDescent="0.3">
      <c r="F67">
        <v>40</v>
      </c>
      <c r="G67">
        <f t="shared" si="4"/>
        <v>313</v>
      </c>
      <c r="H67">
        <f t="shared" ref="H67:H130" si="50">1/($B$18*G67)</f>
        <v>37.076571648064736</v>
      </c>
      <c r="J67">
        <v>0.5</v>
      </c>
      <c r="K67">
        <f t="shared" si="49"/>
        <v>2863075349.4427285</v>
      </c>
      <c r="L67">
        <f t="shared" ref="L67:L130" si="51">EXP(-$B$22/K67)</f>
        <v>0.99994798735313284</v>
      </c>
      <c r="N67">
        <v>5</v>
      </c>
      <c r="O67">
        <f t="shared" si="6"/>
        <v>56517428.667907119</v>
      </c>
      <c r="P67">
        <f t="shared" ref="P67:P130" si="52">EXP(-$B$22/O67)</f>
        <v>0.99736852899846018</v>
      </c>
      <c r="R67">
        <f t="shared" si="7"/>
        <v>56517428.667907119</v>
      </c>
      <c r="S67">
        <f t="shared" ref="S67:S130" si="53">EXP(-$B$22/R67)</f>
        <v>0.99736852899846018</v>
      </c>
      <c r="Z67" t="s">
        <v>121</v>
      </c>
    </row>
    <row r="68" spans="6:92" x14ac:dyDescent="0.3">
      <c r="F68">
        <v>40</v>
      </c>
      <c r="G68">
        <f t="shared" ref="G68:G131" si="54">F68+273</f>
        <v>313</v>
      </c>
      <c r="H68">
        <f t="shared" si="50"/>
        <v>37.076571648064736</v>
      </c>
      <c r="J68">
        <v>0.6</v>
      </c>
      <c r="K68">
        <f t="shared" ref="K68:K81" si="55">$C$7*EXP($C$5*H68)*EXP(-$C$6*J68)</f>
        <v>1732536195.8375185</v>
      </c>
      <c r="L68">
        <f t="shared" si="51"/>
        <v>0.99991404877985335</v>
      </c>
      <c r="N68">
        <v>6</v>
      </c>
      <c r="O68">
        <f t="shared" ref="O68:O131" si="56">$C$11*POWER(N68,-$C$10)*EXP($C$9*H68)</f>
        <v>22394817.939650446</v>
      </c>
      <c r="P68">
        <f t="shared" si="52"/>
        <v>0.99337230802607435</v>
      </c>
      <c r="R68">
        <f t="shared" ref="R68:R131" si="57">MIN(K68,O68)</f>
        <v>22394817.939650446</v>
      </c>
      <c r="S68">
        <f t="shared" si="53"/>
        <v>0.99337230802607435</v>
      </c>
      <c r="BT68" t="s">
        <v>126</v>
      </c>
    </row>
    <row r="69" spans="6:92" x14ac:dyDescent="0.3">
      <c r="F69">
        <v>40</v>
      </c>
      <c r="G69">
        <f t="shared" si="54"/>
        <v>313</v>
      </c>
      <c r="H69">
        <f t="shared" si="50"/>
        <v>37.076571648064736</v>
      </c>
      <c r="J69">
        <v>0.7</v>
      </c>
      <c r="K69">
        <f t="shared" si="55"/>
        <v>1048411691.4601606</v>
      </c>
      <c r="L69">
        <f t="shared" si="51"/>
        <v>0.99985796665073523</v>
      </c>
      <c r="N69">
        <v>7</v>
      </c>
      <c r="O69">
        <f t="shared" si="56"/>
        <v>10238395.607312076</v>
      </c>
      <c r="P69">
        <f t="shared" si="52"/>
        <v>0.98556002341450144</v>
      </c>
      <c r="R69">
        <f t="shared" si="57"/>
        <v>10238395.607312076</v>
      </c>
      <c r="S69">
        <f t="shared" si="53"/>
        <v>0.98556002341450144</v>
      </c>
      <c r="AV69" t="s">
        <v>84</v>
      </c>
    </row>
    <row r="70" spans="6:92" x14ac:dyDescent="0.3">
      <c r="F70">
        <v>40</v>
      </c>
      <c r="G70">
        <f t="shared" si="54"/>
        <v>313</v>
      </c>
      <c r="H70">
        <f t="shared" si="50"/>
        <v>37.076571648064736</v>
      </c>
      <c r="J70">
        <v>0.8</v>
      </c>
      <c r="K70">
        <f t="shared" si="55"/>
        <v>634426615.40413582</v>
      </c>
      <c r="L70">
        <f t="shared" si="51"/>
        <v>0.99976529590714802</v>
      </c>
      <c r="N70">
        <v>8</v>
      </c>
      <c r="O70">
        <f t="shared" si="56"/>
        <v>5197369.5168448994</v>
      </c>
      <c r="P70">
        <f t="shared" si="52"/>
        <v>0.97175364724265456</v>
      </c>
      <c r="R70">
        <f t="shared" si="57"/>
        <v>5197369.5168448994</v>
      </c>
      <c r="S70">
        <f t="shared" si="53"/>
        <v>0.97175364724265456</v>
      </c>
      <c r="Z70" s="22" t="s">
        <v>96</v>
      </c>
      <c r="AA70" s="21" t="s">
        <v>97</v>
      </c>
      <c r="AB70" s="21" t="s">
        <v>98</v>
      </c>
      <c r="AC70" s="21" t="s">
        <v>99</v>
      </c>
      <c r="AD70" s="21" t="s">
        <v>100</v>
      </c>
      <c r="AE70" s="21" t="s">
        <v>101</v>
      </c>
      <c r="AF70" s="21" t="s">
        <v>102</v>
      </c>
      <c r="AG70" s="21" t="s">
        <v>103</v>
      </c>
      <c r="AH70" s="21" t="s">
        <v>104</v>
      </c>
      <c r="AI70" s="21" t="s">
        <v>105</v>
      </c>
      <c r="AJ70" s="21" t="s">
        <v>106</v>
      </c>
      <c r="AK70" s="21" t="s">
        <v>116</v>
      </c>
      <c r="AL70" s="21" t="s">
        <v>107</v>
      </c>
      <c r="AM70" s="21" t="s">
        <v>108</v>
      </c>
      <c r="AN70" s="21" t="s">
        <v>109</v>
      </c>
      <c r="AO70" s="21" t="s">
        <v>110</v>
      </c>
      <c r="AP70" s="21" t="s">
        <v>111</v>
      </c>
      <c r="AQ70" s="21" t="s">
        <v>112</v>
      </c>
      <c r="AR70" s="21" t="s">
        <v>113</v>
      </c>
      <c r="AS70" s="21" t="s">
        <v>114</v>
      </c>
      <c r="AT70" s="21" t="s">
        <v>115</v>
      </c>
      <c r="AW70" s="22" t="s">
        <v>96</v>
      </c>
      <c r="AX70" s="21" t="s">
        <v>97</v>
      </c>
      <c r="AY70" s="21" t="s">
        <v>98</v>
      </c>
      <c r="AZ70" s="21" t="s">
        <v>99</v>
      </c>
      <c r="BA70" s="21" t="s">
        <v>100</v>
      </c>
      <c r="BB70" s="21" t="s">
        <v>101</v>
      </c>
      <c r="BC70" s="21" t="s">
        <v>102</v>
      </c>
      <c r="BD70" s="21" t="s">
        <v>103</v>
      </c>
      <c r="BE70" s="21" t="s">
        <v>104</v>
      </c>
      <c r="BF70" s="21" t="s">
        <v>105</v>
      </c>
      <c r="BG70" s="21" t="s">
        <v>106</v>
      </c>
      <c r="BH70" s="21" t="s">
        <v>116</v>
      </c>
      <c r="BI70" s="21" t="s">
        <v>107</v>
      </c>
      <c r="BJ70" s="21" t="s">
        <v>108</v>
      </c>
      <c r="BK70" s="21" t="s">
        <v>109</v>
      </c>
      <c r="BL70" s="21" t="s">
        <v>110</v>
      </c>
      <c r="BM70" s="21" t="s">
        <v>111</v>
      </c>
      <c r="BN70" s="21" t="s">
        <v>112</v>
      </c>
      <c r="BO70" s="21" t="s">
        <v>113</v>
      </c>
      <c r="BP70" s="21" t="s">
        <v>114</v>
      </c>
      <c r="BQ70" s="21" t="s">
        <v>115</v>
      </c>
      <c r="BT70" s="22" t="s">
        <v>96</v>
      </c>
      <c r="BU70" s="21" t="s">
        <v>97</v>
      </c>
      <c r="BV70" s="21" t="s">
        <v>98</v>
      </c>
      <c r="BW70" s="21" t="s">
        <v>99</v>
      </c>
      <c r="BX70" s="21" t="s">
        <v>100</v>
      </c>
      <c r="BY70" s="21" t="s">
        <v>101</v>
      </c>
      <c r="BZ70" s="21" t="s">
        <v>102</v>
      </c>
      <c r="CA70" s="21" t="s">
        <v>103</v>
      </c>
      <c r="CB70" s="21" t="s">
        <v>104</v>
      </c>
      <c r="CC70" s="21" t="s">
        <v>105</v>
      </c>
      <c r="CD70" s="21" t="s">
        <v>106</v>
      </c>
      <c r="CE70" s="21" t="s">
        <v>116</v>
      </c>
      <c r="CF70" s="21" t="s">
        <v>107</v>
      </c>
      <c r="CG70" s="21" t="s">
        <v>108</v>
      </c>
      <c r="CH70" s="21" t="s">
        <v>109</v>
      </c>
      <c r="CI70" s="21" t="s">
        <v>110</v>
      </c>
      <c r="CJ70" s="21" t="s">
        <v>111</v>
      </c>
      <c r="CK70" s="21" t="s">
        <v>112</v>
      </c>
      <c r="CL70" s="21" t="s">
        <v>113</v>
      </c>
      <c r="CM70" s="21" t="s">
        <v>114</v>
      </c>
      <c r="CN70" s="21" t="s">
        <v>115</v>
      </c>
    </row>
    <row r="71" spans="6:92" x14ac:dyDescent="0.3">
      <c r="F71">
        <v>40</v>
      </c>
      <c r="G71">
        <f t="shared" si="54"/>
        <v>313</v>
      </c>
      <c r="H71">
        <f t="shared" si="50"/>
        <v>37.076571648064736</v>
      </c>
      <c r="J71">
        <v>0.9</v>
      </c>
      <c r="K71">
        <f t="shared" si="55"/>
        <v>383911333.31656682</v>
      </c>
      <c r="L71">
        <f t="shared" si="51"/>
        <v>0.99961217315659834</v>
      </c>
      <c r="N71">
        <v>9</v>
      </c>
      <c r="O71">
        <f t="shared" si="56"/>
        <v>2857997.058265971</v>
      </c>
      <c r="P71">
        <f t="shared" si="52"/>
        <v>0.94922784300521268</v>
      </c>
      <c r="R71">
        <f t="shared" si="57"/>
        <v>2857997.058265971</v>
      </c>
      <c r="S71">
        <f t="shared" si="53"/>
        <v>0.94922784300521268</v>
      </c>
      <c r="Z71" s="26">
        <v>10</v>
      </c>
      <c r="AA71" s="8">
        <f>MIN(AA10,AA37)</f>
        <v>168368877374.33322</v>
      </c>
      <c r="AB71" s="8">
        <f t="shared" ref="AB71:AT71" si="58">MIN(AB10,AB37)</f>
        <v>24407506404.579403</v>
      </c>
      <c r="AC71" s="8">
        <f t="shared" si="58"/>
        <v>3114853699.2743506</v>
      </c>
      <c r="AD71" s="8">
        <f t="shared" si="58"/>
        <v>722892488.32771516</v>
      </c>
      <c r="AE71" s="8">
        <f t="shared" si="58"/>
        <v>232821354.70528662</v>
      </c>
      <c r="AF71" s="8">
        <f t="shared" si="58"/>
        <v>92254583.656393185</v>
      </c>
      <c r="AG71" s="8">
        <f t="shared" si="58"/>
        <v>42176673.487918675</v>
      </c>
      <c r="AH71" s="8">
        <f t="shared" si="58"/>
        <v>21410362.083632983</v>
      </c>
      <c r="AI71" s="8">
        <f t="shared" si="58"/>
        <v>11773408.000549216</v>
      </c>
      <c r="AJ71" s="8">
        <f t="shared" si="58"/>
        <v>6895616.6864778921</v>
      </c>
      <c r="AK71" s="8">
        <f t="shared" si="58"/>
        <v>4250165.9956369447</v>
      </c>
      <c r="AL71" s="8">
        <f t="shared" si="58"/>
        <v>2732362.1034262958</v>
      </c>
      <c r="AM71" s="8">
        <f t="shared" si="58"/>
        <v>1819856.4611923283</v>
      </c>
      <c r="AN71" s="8">
        <f t="shared" si="58"/>
        <v>1249173.1003436982</v>
      </c>
      <c r="AO71" s="8">
        <f t="shared" si="58"/>
        <v>880009.48514034681</v>
      </c>
      <c r="AP71" s="8">
        <f t="shared" si="58"/>
        <v>634124.17745922983</v>
      </c>
      <c r="AQ71" s="8">
        <f t="shared" si="58"/>
        <v>466113.58261728671</v>
      </c>
      <c r="AR71" s="8">
        <f t="shared" si="58"/>
        <v>348700.43930491939</v>
      </c>
      <c r="AS71" s="8">
        <f t="shared" si="58"/>
        <v>264990.05692363868</v>
      </c>
      <c r="AT71" s="8">
        <f t="shared" si="58"/>
        <v>204231.82206384139</v>
      </c>
      <c r="AW71" s="26">
        <v>10</v>
      </c>
      <c r="AX71" s="8">
        <f t="shared" ref="AX71:AX90" si="59">EXP(-t/AA71)</f>
        <v>0.99999911551388554</v>
      </c>
      <c r="AY71" s="8">
        <f t="shared" ref="AY71:AY90" si="60">EXP(-t/AB71)</f>
        <v>0.99999389861695731</v>
      </c>
      <c r="AZ71" s="8">
        <f t="shared" ref="AZ71:AZ90" si="61">EXP(-t/AC71)</f>
        <v>0.99995219151378234</v>
      </c>
      <c r="BA71" s="8">
        <f t="shared" ref="BA71:BA90" si="62">EXP(-t/AD71)</f>
        <v>0.9997940154804893</v>
      </c>
      <c r="BB71" s="8">
        <f t="shared" ref="BB71:BB90" si="63">EXP(-t/AE71)</f>
        <v>0.99936057247266219</v>
      </c>
      <c r="BC71" s="8">
        <f t="shared" ref="BC71:BC90" si="64">EXP(-t/AF71)</f>
        <v>0.9983870734300776</v>
      </c>
      <c r="BD71" s="8">
        <f t="shared" ref="BD71:BD90" si="65">EXP(-t/AG71)</f>
        <v>0.99647536448696317</v>
      </c>
      <c r="BE71" s="8">
        <f t="shared" ref="BE71:BE90" si="66">EXP(-t/AH71)</f>
        <v>0.99306862299724996</v>
      </c>
      <c r="BF71" s="8">
        <f t="shared" ref="BF71:BF90" si="67">EXP(-t/AI71)</f>
        <v>0.98743081649908959</v>
      </c>
      <c r="BG71" s="8">
        <f t="shared" ref="BG71:BG90" si="68">EXP(-t/AJ71)</f>
        <v>0.97863520291750405</v>
      </c>
      <c r="BH71" s="8">
        <f t="shared" ref="BH71:BH90" si="69">EXP(-t/AK71)</f>
        <v>0.96556811422310951</v>
      </c>
      <c r="BI71" s="8">
        <f t="shared" ref="BI71:BI90" si="70">EXP(-t/AL71)</f>
        <v>0.94695633746471175</v>
      </c>
      <c r="BJ71" s="8">
        <f t="shared" ref="BJ71:BJ90" si="71">EXP(-t/AM71)</f>
        <v>0.92142800811170911</v>
      </c>
      <c r="BK71" s="8">
        <f t="shared" ref="BK71:BK90" si="72">EXP(-t/AN71)</f>
        <v>0.8876170642210538</v>
      </c>
      <c r="BL71" s="8">
        <f t="shared" ref="BL71:BL90" si="73">EXP(-t/AO71)</f>
        <v>0.84431853139580626</v>
      </c>
      <c r="BM71" s="8">
        <f t="shared" ref="BM71:BM90" si="74">EXP(-t/AP71)</f>
        <v>0.79069451041666261</v>
      </c>
      <c r="BN71" s="8">
        <f t="shared" ref="BN71:BN90" si="75">EXP(-t/AQ71)</f>
        <v>0.72651732983128037</v>
      </c>
      <c r="BO71" s="8">
        <f t="shared" ref="BO71:BO90" si="76">EXP(-t/AR71)</f>
        <v>0.65241693954405156</v>
      </c>
      <c r="BP71" s="8">
        <f t="shared" ref="BP71:BP90" si="77">EXP(-t/AS71)</f>
        <v>0.57007727888483861</v>
      </c>
      <c r="BQ71" s="8">
        <f t="shared" ref="BQ71:BQ90" si="78">EXP(-t/AT71)</f>
        <v>0.48230847390530102</v>
      </c>
      <c r="BT71" s="26">
        <v>10</v>
      </c>
      <c r="BU71" s="8" t="str" cm="1">
        <f t="array" ref="BU71:CN90">IF(AA10:AT29&lt;=AA37:AT56, "Si", "GaN")</f>
        <v>Si</v>
      </c>
      <c r="BV71" s="8" t="str">
        <v>GaN</v>
      </c>
      <c r="BW71" s="8" t="str">
        <v>GaN</v>
      </c>
      <c r="BX71" s="8" t="str">
        <v>GaN</v>
      </c>
      <c r="BY71" s="8" t="str">
        <v>GaN</v>
      </c>
      <c r="BZ71" s="8" t="str">
        <v>GaN</v>
      </c>
      <c r="CA71" s="8" t="str">
        <v>GaN</v>
      </c>
      <c r="CB71" s="8" t="str">
        <v>GaN</v>
      </c>
      <c r="CC71" s="8" t="str">
        <v>GaN</v>
      </c>
      <c r="CD71" s="8" t="str">
        <v>GaN</v>
      </c>
      <c r="CE71" s="8" t="str">
        <v>GaN</v>
      </c>
      <c r="CF71" s="8" t="str">
        <v>GaN</v>
      </c>
      <c r="CG71" s="8" t="str">
        <v>GaN</v>
      </c>
      <c r="CH71" s="8" t="str">
        <v>GaN</v>
      </c>
      <c r="CI71" s="8" t="str">
        <v>GaN</v>
      </c>
      <c r="CJ71" s="8" t="str">
        <v>GaN</v>
      </c>
      <c r="CK71" s="8" t="str">
        <v>GaN</v>
      </c>
      <c r="CL71" s="8" t="str">
        <v>GaN</v>
      </c>
      <c r="CM71" s="8" t="str">
        <v>GaN</v>
      </c>
      <c r="CN71" s="8" t="str">
        <v>GaN</v>
      </c>
    </row>
    <row r="72" spans="6:92" x14ac:dyDescent="0.3">
      <c r="F72">
        <v>40</v>
      </c>
      <c r="G72">
        <f t="shared" si="54"/>
        <v>313</v>
      </c>
      <c r="H72">
        <f t="shared" si="50"/>
        <v>37.076571648064736</v>
      </c>
      <c r="J72">
        <v>1</v>
      </c>
      <c r="K72">
        <f t="shared" si="55"/>
        <v>232316722.32889643</v>
      </c>
      <c r="L72">
        <f t="shared" si="51"/>
        <v>0.99935918396984835</v>
      </c>
      <c r="N72">
        <v>10</v>
      </c>
      <c r="O72">
        <f t="shared" si="56"/>
        <v>1673912.2779032392</v>
      </c>
      <c r="P72">
        <f t="shared" si="52"/>
        <v>0.9148773782816958</v>
      </c>
      <c r="R72">
        <f t="shared" si="57"/>
        <v>1673912.2779032392</v>
      </c>
      <c r="S72">
        <f t="shared" si="53"/>
        <v>0.9148773782816958</v>
      </c>
      <c r="Z72" s="26">
        <v>20</v>
      </c>
      <c r="AA72" s="8">
        <f t="shared" ref="AA72:AT72" si="79">MIN(AA11,AA38)</f>
        <v>80707481250.458466</v>
      </c>
      <c r="AB72" s="8">
        <f t="shared" si="79"/>
        <v>14743040657.31119</v>
      </c>
      <c r="AC72" s="8">
        <f t="shared" si="79"/>
        <v>1881487357.5680728</v>
      </c>
      <c r="AD72" s="8">
        <f t="shared" si="79"/>
        <v>436653919.88920033</v>
      </c>
      <c r="AE72" s="8">
        <f t="shared" si="79"/>
        <v>140632748.03305167</v>
      </c>
      <c r="AF72" s="8">
        <f t="shared" si="79"/>
        <v>55725195.975543536</v>
      </c>
      <c r="AG72" s="8">
        <f t="shared" si="79"/>
        <v>25476277.736666203</v>
      </c>
      <c r="AH72" s="8">
        <f t="shared" si="79"/>
        <v>12932654.137398124</v>
      </c>
      <c r="AI72" s="8">
        <f t="shared" si="79"/>
        <v>7111575.838597063</v>
      </c>
      <c r="AJ72" s="8">
        <f t="shared" si="79"/>
        <v>4165208.6649418175</v>
      </c>
      <c r="AK72" s="8">
        <f t="shared" si="79"/>
        <v>2567258.1637524618</v>
      </c>
      <c r="AL72" s="8">
        <f t="shared" si="79"/>
        <v>1650448.223328219</v>
      </c>
      <c r="AM72" s="8">
        <f t="shared" si="79"/>
        <v>1099260.9139619032</v>
      </c>
      <c r="AN72" s="8">
        <f t="shared" si="79"/>
        <v>754546.96195147734</v>
      </c>
      <c r="AO72" s="8">
        <f t="shared" si="79"/>
        <v>531558.42318285326</v>
      </c>
      <c r="AP72" s="8">
        <f t="shared" si="79"/>
        <v>383034.56219974079</v>
      </c>
      <c r="AQ72" s="8">
        <f t="shared" si="79"/>
        <v>281549.92097686417</v>
      </c>
      <c r="AR72" s="8">
        <f t="shared" si="79"/>
        <v>210628.02027699762</v>
      </c>
      <c r="AS72" s="8">
        <f t="shared" si="79"/>
        <v>160063.83930623144</v>
      </c>
      <c r="AT72" s="8">
        <f t="shared" si="79"/>
        <v>123363.60815781765</v>
      </c>
      <c r="AW72" s="26">
        <v>20</v>
      </c>
      <c r="AX72" s="8">
        <f t="shared" si="59"/>
        <v>0.99999815481959908</v>
      </c>
      <c r="AY72" s="8">
        <f t="shared" si="60"/>
        <v>0.99998989901395918</v>
      </c>
      <c r="AZ72" s="8">
        <f t="shared" si="61"/>
        <v>0.99992085298578459</v>
      </c>
      <c r="BA72" s="8">
        <f t="shared" si="62"/>
        <v>0.9996590100267938</v>
      </c>
      <c r="BB72" s="8">
        <f t="shared" si="63"/>
        <v>0.9989416321439859</v>
      </c>
      <c r="BC72" s="8">
        <f t="shared" si="64"/>
        <v>0.99733116792772247</v>
      </c>
      <c r="BD72" s="8">
        <f t="shared" si="65"/>
        <v>0.99417161340964377</v>
      </c>
      <c r="BE72" s="8">
        <f t="shared" si="66"/>
        <v>0.98855100659909145</v>
      </c>
      <c r="BF72" s="8">
        <f t="shared" si="67"/>
        <v>0.97927722347602908</v>
      </c>
      <c r="BG72" s="8">
        <f t="shared" si="68"/>
        <v>0.9648782891668346</v>
      </c>
      <c r="BH72" s="8">
        <f t="shared" si="69"/>
        <v>0.9436429538700154</v>
      </c>
      <c r="BI72" s="8">
        <f t="shared" si="70"/>
        <v>0.91372097381959672</v>
      </c>
      <c r="BJ72" s="8">
        <f t="shared" si="71"/>
        <v>0.87330287985655186</v>
      </c>
      <c r="BK72" s="8">
        <f t="shared" si="72"/>
        <v>0.82089221666734546</v>
      </c>
      <c r="BL72" s="8">
        <f t="shared" si="73"/>
        <v>0.75566482711538563</v>
      </c>
      <c r="BM72" s="8">
        <f t="shared" si="74"/>
        <v>0.67787662231854262</v>
      </c>
      <c r="BN72" s="8">
        <f t="shared" si="75"/>
        <v>0.58923553200541912</v>
      </c>
      <c r="BO72" s="8">
        <f t="shared" si="76"/>
        <v>0.49310732189170919</v>
      </c>
      <c r="BP72" s="8">
        <f t="shared" si="77"/>
        <v>0.39440428847407799</v>
      </c>
      <c r="BQ72" s="8">
        <f t="shared" si="78"/>
        <v>0.29904442583108626</v>
      </c>
      <c r="BT72" s="26">
        <v>20</v>
      </c>
      <c r="BU72" s="8" t="str">
        <v>Si</v>
      </c>
      <c r="BV72" s="8" t="str">
        <v>GaN</v>
      </c>
      <c r="BW72" s="8" t="str">
        <v>GaN</v>
      </c>
      <c r="BX72" s="8" t="str">
        <v>GaN</v>
      </c>
      <c r="BY72" s="8" t="str">
        <v>GaN</v>
      </c>
      <c r="BZ72" s="8" t="str">
        <v>GaN</v>
      </c>
      <c r="CA72" s="8" t="str">
        <v>GaN</v>
      </c>
      <c r="CB72" s="8" t="str">
        <v>GaN</v>
      </c>
      <c r="CC72" s="8" t="str">
        <v>GaN</v>
      </c>
      <c r="CD72" s="8" t="str">
        <v>GaN</v>
      </c>
      <c r="CE72" s="8" t="str">
        <v>GaN</v>
      </c>
      <c r="CF72" s="8" t="str">
        <v>GaN</v>
      </c>
      <c r="CG72" s="8" t="str">
        <v>GaN</v>
      </c>
      <c r="CH72" s="8" t="str">
        <v>GaN</v>
      </c>
      <c r="CI72" s="8" t="str">
        <v>GaN</v>
      </c>
      <c r="CJ72" s="8" t="str">
        <v>GaN</v>
      </c>
      <c r="CK72" s="8" t="str">
        <v>GaN</v>
      </c>
      <c r="CL72" s="8" t="str">
        <v>GaN</v>
      </c>
      <c r="CM72" s="8" t="str">
        <v>GaN</v>
      </c>
      <c r="CN72" s="8" t="str">
        <v>GaN</v>
      </c>
    </row>
    <row r="73" spans="6:92" x14ac:dyDescent="0.3">
      <c r="F73">
        <v>40</v>
      </c>
      <c r="G73">
        <f t="shared" si="54"/>
        <v>313</v>
      </c>
      <c r="H73">
        <f t="shared" si="50"/>
        <v>37.076571648064736</v>
      </c>
      <c r="J73">
        <v>1.1000000000000001</v>
      </c>
      <c r="K73">
        <f t="shared" si="55"/>
        <v>140582094.84828594</v>
      </c>
      <c r="L73">
        <f t="shared" si="51"/>
        <v>0.9989412510050294</v>
      </c>
      <c r="N73">
        <v>11</v>
      </c>
      <c r="O73">
        <f t="shared" si="56"/>
        <v>1031728.6135081541</v>
      </c>
      <c r="P73">
        <f t="shared" si="52"/>
        <v>0.86559315134904447</v>
      </c>
      <c r="R73">
        <f t="shared" si="57"/>
        <v>1031728.6135081541</v>
      </c>
      <c r="S73">
        <f t="shared" si="53"/>
        <v>0.86559315134904447</v>
      </c>
      <c r="Z73" s="26">
        <v>30</v>
      </c>
      <c r="AA73" s="8">
        <f t="shared" ref="AA73:AT73" si="80">MIN(AA12,AA39)</f>
        <v>40611108972.828896</v>
      </c>
      <c r="AB73" s="8">
        <f t="shared" si="80"/>
        <v>9206656895.6626053</v>
      </c>
      <c r="AC73" s="8">
        <f t="shared" si="80"/>
        <v>1174941381.3130803</v>
      </c>
      <c r="AD73" s="8">
        <f t="shared" si="80"/>
        <v>272679355.36570626</v>
      </c>
      <c r="AE73" s="8">
        <f t="shared" si="80"/>
        <v>87821602.716153175</v>
      </c>
      <c r="AF73" s="8">
        <f t="shared" si="80"/>
        <v>34798978.834530048</v>
      </c>
      <c r="AG73" s="8">
        <f t="shared" si="80"/>
        <v>15909292.631827462</v>
      </c>
      <c r="AH73" s="8">
        <f t="shared" si="80"/>
        <v>8076116.1934563313</v>
      </c>
      <c r="AI73" s="8">
        <f t="shared" si="80"/>
        <v>4440999.6726813773</v>
      </c>
      <c r="AJ73" s="8">
        <f t="shared" si="80"/>
        <v>2601067.7151557147</v>
      </c>
      <c r="AK73" s="8">
        <f t="shared" si="80"/>
        <v>1603187.9464794472</v>
      </c>
      <c r="AL73" s="8">
        <f t="shared" si="80"/>
        <v>1030663.2715350663</v>
      </c>
      <c r="AM73" s="8">
        <f t="shared" si="80"/>
        <v>686460.70433515962</v>
      </c>
      <c r="AN73" s="8">
        <f t="shared" si="80"/>
        <v>471195.539090292</v>
      </c>
      <c r="AO73" s="8">
        <f t="shared" si="80"/>
        <v>331944.82305229525</v>
      </c>
      <c r="AP73" s="8">
        <f t="shared" si="80"/>
        <v>239195.41940654881</v>
      </c>
      <c r="AQ73" s="8">
        <f t="shared" si="80"/>
        <v>175820.82161249747</v>
      </c>
      <c r="AR73" s="8">
        <f t="shared" si="80"/>
        <v>131531.88411925928</v>
      </c>
      <c r="AS73" s="8">
        <f t="shared" si="80"/>
        <v>99955.828933032943</v>
      </c>
      <c r="AT73" s="8">
        <f t="shared" si="80"/>
        <v>77037.46059716359</v>
      </c>
      <c r="AW73" s="26">
        <v>30</v>
      </c>
      <c r="AX73" s="8">
        <f t="shared" si="59"/>
        <v>0.99999633302978608</v>
      </c>
      <c r="AY73" s="8">
        <f t="shared" si="60"/>
        <v>0.99998382487831527</v>
      </c>
      <c r="AZ73" s="8">
        <f t="shared" si="61"/>
        <v>0.9998732612833251</v>
      </c>
      <c r="BA73" s="8">
        <f t="shared" si="62"/>
        <v>0.99945401315065063</v>
      </c>
      <c r="BB73" s="8">
        <f t="shared" si="63"/>
        <v>0.99830572656221217</v>
      </c>
      <c r="BC73" s="8">
        <f t="shared" si="64"/>
        <v>0.99572970781800862</v>
      </c>
      <c r="BD73" s="8">
        <f t="shared" si="65"/>
        <v>0.99068310670602333</v>
      </c>
      <c r="BE73" s="8">
        <f t="shared" si="66"/>
        <v>0.98172941206350783</v>
      </c>
      <c r="BF73" s="8">
        <f t="shared" si="67"/>
        <v>0.96702300809657504</v>
      </c>
      <c r="BG73" s="8">
        <f t="shared" si="68"/>
        <v>0.94435472877901794</v>
      </c>
      <c r="BH73" s="8">
        <f t="shared" si="69"/>
        <v>0.91129381005071164</v>
      </c>
      <c r="BI73" s="8">
        <f t="shared" si="70"/>
        <v>0.86546401717035881</v>
      </c>
      <c r="BJ73" s="8">
        <f t="shared" si="71"/>
        <v>0.80497918731571372</v>
      </c>
      <c r="BK73" s="8">
        <f t="shared" si="72"/>
        <v>0.72902508699898561</v>
      </c>
      <c r="BL73" s="8">
        <f t="shared" si="73"/>
        <v>0.63850308172884185</v>
      </c>
      <c r="BM73" s="8">
        <f t="shared" si="74"/>
        <v>0.53655448099123837</v>
      </c>
      <c r="BN73" s="8">
        <f t="shared" si="75"/>
        <v>0.42869967723958935</v>
      </c>
      <c r="BO73" s="8">
        <f t="shared" si="76"/>
        <v>0.32232434267990395</v>
      </c>
      <c r="BP73" s="8">
        <f t="shared" si="77"/>
        <v>0.22540464129603438</v>
      </c>
      <c r="BQ73" s="8">
        <f t="shared" si="78"/>
        <v>0.14470103024830136</v>
      </c>
      <c r="BT73" s="26">
        <v>30</v>
      </c>
      <c r="BU73" s="8" t="str">
        <v>Si</v>
      </c>
      <c r="BV73" s="8" t="str">
        <v>GaN</v>
      </c>
      <c r="BW73" s="8" t="str">
        <v>GaN</v>
      </c>
      <c r="BX73" s="8" t="str">
        <v>GaN</v>
      </c>
      <c r="BY73" s="8" t="str">
        <v>GaN</v>
      </c>
      <c r="BZ73" s="8" t="str">
        <v>GaN</v>
      </c>
      <c r="CA73" s="8" t="str">
        <v>GaN</v>
      </c>
      <c r="CB73" s="8" t="str">
        <v>GaN</v>
      </c>
      <c r="CC73" s="8" t="str">
        <v>GaN</v>
      </c>
      <c r="CD73" s="8" t="str">
        <v>GaN</v>
      </c>
      <c r="CE73" s="8" t="str">
        <v>GaN</v>
      </c>
      <c r="CF73" s="8" t="str">
        <v>GaN</v>
      </c>
      <c r="CG73" s="8" t="str">
        <v>GaN</v>
      </c>
      <c r="CH73" s="8" t="str">
        <v>GaN</v>
      </c>
      <c r="CI73" s="8" t="str">
        <v>GaN</v>
      </c>
      <c r="CJ73" s="8" t="str">
        <v>GaN</v>
      </c>
      <c r="CK73" s="8" t="str">
        <v>GaN</v>
      </c>
      <c r="CL73" s="8" t="str">
        <v>GaN</v>
      </c>
      <c r="CM73" s="8" t="str">
        <v>GaN</v>
      </c>
      <c r="CN73" s="8" t="str">
        <v>GaN</v>
      </c>
    </row>
    <row r="74" spans="6:92" x14ac:dyDescent="0.3">
      <c r="F74">
        <v>40</v>
      </c>
      <c r="G74">
        <f t="shared" si="54"/>
        <v>313</v>
      </c>
      <c r="H74">
        <f t="shared" si="50"/>
        <v>37.076571648064736</v>
      </c>
      <c r="J74">
        <v>1.2</v>
      </c>
      <c r="K74">
        <f t="shared" si="55"/>
        <v>85070610.474406853</v>
      </c>
      <c r="L74">
        <f t="shared" si="51"/>
        <v>0.9982509855100925</v>
      </c>
      <c r="N74">
        <v>12</v>
      </c>
      <c r="O74">
        <f t="shared" si="56"/>
        <v>663281.42652879178</v>
      </c>
      <c r="P74">
        <f t="shared" si="52"/>
        <v>0.79889953336761166</v>
      </c>
      <c r="R74">
        <f t="shared" si="57"/>
        <v>663281.42652879178</v>
      </c>
      <c r="S74">
        <f t="shared" si="53"/>
        <v>0.79889953336761166</v>
      </c>
      <c r="Z74" s="26">
        <v>40</v>
      </c>
      <c r="AA74" s="8">
        <f t="shared" ref="AA74:AT74" si="81">MIN(AA13,AA40)</f>
        <v>21351806381.363914</v>
      </c>
      <c r="AB74" s="8">
        <f t="shared" si="81"/>
        <v>5924926877.6416922</v>
      </c>
      <c r="AC74" s="8">
        <f t="shared" si="81"/>
        <v>756131335.04246962</v>
      </c>
      <c r="AD74" s="8">
        <f t="shared" si="81"/>
        <v>175482290.68310553</v>
      </c>
      <c r="AE74" s="8">
        <f t="shared" si="81"/>
        <v>56517428.667907119</v>
      </c>
      <c r="AF74" s="8">
        <f t="shared" si="81"/>
        <v>22394817.939650446</v>
      </c>
      <c r="AG74" s="8">
        <f t="shared" si="81"/>
        <v>10238395.607312076</v>
      </c>
      <c r="AH74" s="8">
        <f t="shared" si="81"/>
        <v>5197369.5168448994</v>
      </c>
      <c r="AI74" s="8">
        <f t="shared" si="81"/>
        <v>2857997.058265971</v>
      </c>
      <c r="AJ74" s="8">
        <f t="shared" si="81"/>
        <v>1673912.2779032392</v>
      </c>
      <c r="AK74" s="8">
        <f t="shared" si="81"/>
        <v>1031728.6135081541</v>
      </c>
      <c r="AL74" s="8">
        <f t="shared" si="81"/>
        <v>663281.42652879178</v>
      </c>
      <c r="AM74" s="8">
        <f t="shared" si="81"/>
        <v>441770.50623841176</v>
      </c>
      <c r="AN74" s="8">
        <f t="shared" si="81"/>
        <v>303237.01054789993</v>
      </c>
      <c r="AO74" s="8">
        <f t="shared" si="81"/>
        <v>213622.47190107894</v>
      </c>
      <c r="AP74" s="8">
        <f t="shared" si="81"/>
        <v>153933.76613375367</v>
      </c>
      <c r="AQ74" s="8">
        <f t="shared" si="81"/>
        <v>113149.16189737711</v>
      </c>
      <c r="AR74" s="8">
        <f t="shared" si="81"/>
        <v>84647.098758747001</v>
      </c>
      <c r="AS74" s="8">
        <f t="shared" si="81"/>
        <v>64326.387323208583</v>
      </c>
      <c r="AT74" s="8">
        <f t="shared" si="81"/>
        <v>49577.314116314432</v>
      </c>
      <c r="AW74" s="26">
        <v>40</v>
      </c>
      <c r="AX74" s="8">
        <f t="shared" si="59"/>
        <v>0.99999302543878421</v>
      </c>
      <c r="AY74" s="8">
        <f t="shared" si="60"/>
        <v>0.99997486582846051</v>
      </c>
      <c r="AZ74" s="8">
        <f t="shared" si="61"/>
        <v>0.99980306948122466</v>
      </c>
      <c r="BA74" s="8">
        <f t="shared" si="62"/>
        <v>0.99915172734465107</v>
      </c>
      <c r="BB74" s="8">
        <f t="shared" si="63"/>
        <v>0.99736852899846018</v>
      </c>
      <c r="BC74" s="8">
        <f t="shared" si="64"/>
        <v>0.99337230802607435</v>
      </c>
      <c r="BD74" s="8">
        <f t="shared" si="65"/>
        <v>0.98556002341450144</v>
      </c>
      <c r="BE74" s="8">
        <f t="shared" si="66"/>
        <v>0.97175364724265456</v>
      </c>
      <c r="BF74" s="8">
        <f t="shared" si="67"/>
        <v>0.94922784300521268</v>
      </c>
      <c r="BG74" s="8">
        <f t="shared" si="68"/>
        <v>0.9148773782816958</v>
      </c>
      <c r="BH74" s="8">
        <f t="shared" si="69"/>
        <v>0.86559315134904447</v>
      </c>
      <c r="BI74" s="8">
        <f t="shared" si="70"/>
        <v>0.79889953336761166</v>
      </c>
      <c r="BJ74" s="8">
        <f t="shared" si="71"/>
        <v>0.7138388061158798</v>
      </c>
      <c r="BK74" s="8">
        <f t="shared" si="72"/>
        <v>0.6119522619195662</v>
      </c>
      <c r="BL74" s="8">
        <f t="shared" si="73"/>
        <v>0.4980186909655942</v>
      </c>
      <c r="BM74" s="8">
        <f t="shared" si="74"/>
        <v>0.38005888846620645</v>
      </c>
      <c r="BN74" s="8">
        <f t="shared" si="75"/>
        <v>0.26816876382217131</v>
      </c>
      <c r="BO74" s="8">
        <f t="shared" si="76"/>
        <v>0.1721646069005181</v>
      </c>
      <c r="BP74" s="8">
        <f t="shared" si="77"/>
        <v>9.8759408019755593E-2</v>
      </c>
      <c r="BQ74" s="8">
        <f t="shared" si="78"/>
        <v>4.9598572801395305E-2</v>
      </c>
      <c r="BT74" s="26">
        <v>40</v>
      </c>
      <c r="BU74" s="8" t="str">
        <v>Si</v>
      </c>
      <c r="BV74" s="8" t="str">
        <v>GaN</v>
      </c>
      <c r="BW74" s="8" t="str">
        <v>GaN</v>
      </c>
      <c r="BX74" s="8" t="str">
        <v>GaN</v>
      </c>
      <c r="BY74" s="8" t="str">
        <v>GaN</v>
      </c>
      <c r="BZ74" s="8" t="str">
        <v>GaN</v>
      </c>
      <c r="CA74" s="8" t="str">
        <v>GaN</v>
      </c>
      <c r="CB74" s="8" t="str">
        <v>GaN</v>
      </c>
      <c r="CC74" s="8" t="str">
        <v>GaN</v>
      </c>
      <c r="CD74" s="8" t="str">
        <v>GaN</v>
      </c>
      <c r="CE74" s="8" t="str">
        <v>GaN</v>
      </c>
      <c r="CF74" s="8" t="str">
        <v>GaN</v>
      </c>
      <c r="CG74" s="8" t="str">
        <v>GaN</v>
      </c>
      <c r="CH74" s="8" t="str">
        <v>GaN</v>
      </c>
      <c r="CI74" s="8" t="str">
        <v>GaN</v>
      </c>
      <c r="CJ74" s="8" t="str">
        <v>GaN</v>
      </c>
      <c r="CK74" s="8" t="str">
        <v>GaN</v>
      </c>
      <c r="CL74" s="8" t="str">
        <v>GaN</v>
      </c>
      <c r="CM74" s="8" t="str">
        <v>GaN</v>
      </c>
      <c r="CN74" s="8" t="str">
        <v>GaN</v>
      </c>
    </row>
    <row r="75" spans="6:92" x14ac:dyDescent="0.3">
      <c r="F75">
        <v>40</v>
      </c>
      <c r="G75">
        <f t="shared" si="54"/>
        <v>313</v>
      </c>
      <c r="H75">
        <f t="shared" si="50"/>
        <v>37.076571648064736</v>
      </c>
      <c r="J75">
        <v>1.3</v>
      </c>
      <c r="K75">
        <f t="shared" si="55"/>
        <v>51478879.826754063</v>
      </c>
      <c r="L75">
        <f t="shared" si="51"/>
        <v>0.99711134338148821</v>
      </c>
      <c r="N75">
        <v>13</v>
      </c>
      <c r="O75">
        <f t="shared" si="56"/>
        <v>441770.50623841176</v>
      </c>
      <c r="P75">
        <f t="shared" si="52"/>
        <v>0.7138388061158798</v>
      </c>
      <c r="R75">
        <f t="shared" si="57"/>
        <v>441770.50623841176</v>
      </c>
      <c r="S75">
        <f t="shared" si="53"/>
        <v>0.7138388061158798</v>
      </c>
      <c r="Z75" s="26">
        <v>50</v>
      </c>
      <c r="AA75" s="8">
        <f t="shared" ref="AA75:AT75" si="82">MIN(AA14,AA41)</f>
        <v>11681885767.518145</v>
      </c>
      <c r="AB75" s="8">
        <f t="shared" si="82"/>
        <v>3918470653.4873104</v>
      </c>
      <c r="AC75" s="8">
        <f t="shared" si="82"/>
        <v>500070044.36237323</v>
      </c>
      <c r="AD75" s="8">
        <f t="shared" si="82"/>
        <v>116055813.08408891</v>
      </c>
      <c r="AE75" s="8">
        <f t="shared" si="82"/>
        <v>37377994.736351125</v>
      </c>
      <c r="AF75" s="8">
        <f t="shared" si="82"/>
        <v>14810889.433565477</v>
      </c>
      <c r="AG75" s="8">
        <f t="shared" si="82"/>
        <v>6771197.9497060617</v>
      </c>
      <c r="AH75" s="8">
        <f t="shared" si="82"/>
        <v>3437298.1047139047</v>
      </c>
      <c r="AI75" s="8">
        <f t="shared" si="82"/>
        <v>1890146.1286937972</v>
      </c>
      <c r="AJ75" s="8">
        <f t="shared" si="82"/>
        <v>1107047.6096890999</v>
      </c>
      <c r="AK75" s="8">
        <f t="shared" si="82"/>
        <v>682337.24700481282</v>
      </c>
      <c r="AL75" s="8">
        <f t="shared" si="82"/>
        <v>438663.43982472469</v>
      </c>
      <c r="AM75" s="8">
        <f t="shared" si="82"/>
        <v>292166.43513421179</v>
      </c>
      <c r="AN75" s="8">
        <f t="shared" si="82"/>
        <v>200546.83398153921</v>
      </c>
      <c r="AO75" s="8">
        <f t="shared" si="82"/>
        <v>141279.95237014251</v>
      </c>
      <c r="AP75" s="8">
        <f t="shared" si="82"/>
        <v>101804.62267847924</v>
      </c>
      <c r="AQ75" s="8">
        <f t="shared" si="82"/>
        <v>74831.585185407836</v>
      </c>
      <c r="AR75" s="8">
        <f t="shared" si="82"/>
        <v>55981.64825301848</v>
      </c>
      <c r="AS75" s="8">
        <f t="shared" si="82"/>
        <v>42542.476249289888</v>
      </c>
      <c r="AT75" s="8">
        <f t="shared" si="82"/>
        <v>32788.126242804334</v>
      </c>
      <c r="AW75" s="26">
        <v>50</v>
      </c>
      <c r="AX75" s="8">
        <f t="shared" si="59"/>
        <v>0.99998725213944428</v>
      </c>
      <c r="AY75" s="8">
        <f t="shared" si="60"/>
        <v>0.99996199609914671</v>
      </c>
      <c r="AZ75" s="8">
        <f t="shared" si="61"/>
        <v>0.99970224605568858</v>
      </c>
      <c r="BA75" s="8">
        <f t="shared" si="62"/>
        <v>0.99871764721097567</v>
      </c>
      <c r="BB75" s="8">
        <f t="shared" si="63"/>
        <v>0.99602376387744063</v>
      </c>
      <c r="BC75" s="8">
        <f t="shared" si="64"/>
        <v>0.98999561600327379</v>
      </c>
      <c r="BD75" s="8">
        <f t="shared" si="65"/>
        <v>0.97824693200166113</v>
      </c>
      <c r="BE75" s="8">
        <f t="shared" si="66"/>
        <v>0.95760038143273551</v>
      </c>
      <c r="BF75" s="8">
        <f t="shared" si="67"/>
        <v>0.92423624908424484</v>
      </c>
      <c r="BG75" s="8">
        <f t="shared" si="68"/>
        <v>0.87413543109621672</v>
      </c>
      <c r="BH75" s="8">
        <f t="shared" si="69"/>
        <v>0.80392455815206665</v>
      </c>
      <c r="BI75" s="8">
        <f t="shared" si="70"/>
        <v>0.71213642346087858</v>
      </c>
      <c r="BJ75" s="8">
        <f t="shared" si="71"/>
        <v>0.60067006367967479</v>
      </c>
      <c r="BK75" s="8">
        <f t="shared" si="72"/>
        <v>0.47588945538693739</v>
      </c>
      <c r="BL75" s="8">
        <f t="shared" si="73"/>
        <v>0.34851382987899832</v>
      </c>
      <c r="BM75" s="8">
        <f t="shared" si="74"/>
        <v>0.23158647238725369</v>
      </c>
      <c r="BN75" s="8">
        <f t="shared" si="75"/>
        <v>0.13668602647934472</v>
      </c>
      <c r="BO75" s="8">
        <f t="shared" si="76"/>
        <v>6.993720759450657E-2</v>
      </c>
      <c r="BP75" s="8">
        <f t="shared" si="77"/>
        <v>3.0182244596507014E-2</v>
      </c>
      <c r="BQ75" s="8">
        <f t="shared" si="78"/>
        <v>1.0653273238669242E-2</v>
      </c>
      <c r="BT75" s="26">
        <v>50</v>
      </c>
      <c r="BU75" s="8" t="str">
        <v>Si</v>
      </c>
      <c r="BV75" s="8" t="str">
        <v>GaN</v>
      </c>
      <c r="BW75" s="8" t="str">
        <v>GaN</v>
      </c>
      <c r="BX75" s="8" t="str">
        <v>GaN</v>
      </c>
      <c r="BY75" s="8" t="str">
        <v>GaN</v>
      </c>
      <c r="BZ75" s="8" t="str">
        <v>GaN</v>
      </c>
      <c r="CA75" s="8" t="str">
        <v>GaN</v>
      </c>
      <c r="CB75" s="8" t="str">
        <v>GaN</v>
      </c>
      <c r="CC75" s="8" t="str">
        <v>GaN</v>
      </c>
      <c r="CD75" s="8" t="str">
        <v>GaN</v>
      </c>
      <c r="CE75" s="8" t="str">
        <v>GaN</v>
      </c>
      <c r="CF75" s="8" t="str">
        <v>GaN</v>
      </c>
      <c r="CG75" s="8" t="str">
        <v>GaN</v>
      </c>
      <c r="CH75" s="8" t="str">
        <v>GaN</v>
      </c>
      <c r="CI75" s="8" t="str">
        <v>GaN</v>
      </c>
      <c r="CJ75" s="8" t="str">
        <v>GaN</v>
      </c>
      <c r="CK75" s="8" t="str">
        <v>GaN</v>
      </c>
      <c r="CL75" s="8" t="str">
        <v>GaN</v>
      </c>
      <c r="CM75" s="8" t="str">
        <v>GaN</v>
      </c>
      <c r="CN75" s="8" t="str">
        <v>GaN</v>
      </c>
    </row>
    <row r="76" spans="6:92" x14ac:dyDescent="0.3">
      <c r="F76">
        <v>40</v>
      </c>
      <c r="G76">
        <f t="shared" si="54"/>
        <v>313</v>
      </c>
      <c r="H76">
        <f t="shared" si="50"/>
        <v>37.076571648064736</v>
      </c>
      <c r="J76">
        <v>1.4</v>
      </c>
      <c r="K76">
        <f t="shared" si="55"/>
        <v>31151475.855632372</v>
      </c>
      <c r="L76">
        <f t="shared" si="51"/>
        <v>0.99523089659326602</v>
      </c>
      <c r="N76">
        <v>14</v>
      </c>
      <c r="O76">
        <f t="shared" si="56"/>
        <v>303237.01054789993</v>
      </c>
      <c r="P76">
        <f t="shared" si="52"/>
        <v>0.6119522619195662</v>
      </c>
      <c r="R76">
        <f t="shared" si="57"/>
        <v>303237.01054789993</v>
      </c>
      <c r="S76">
        <f t="shared" si="53"/>
        <v>0.6119522619195662</v>
      </c>
      <c r="Z76" s="26">
        <v>60</v>
      </c>
      <c r="AA76" s="8">
        <f t="shared" ref="AA76:AT76" si="83">MIN(AA15,AA42)</f>
        <v>6627081609.1303902</v>
      </c>
      <c r="AB76" s="8">
        <f t="shared" si="83"/>
        <v>2656653845.7818842</v>
      </c>
      <c r="AC76" s="8">
        <f t="shared" si="83"/>
        <v>339038651.55485684</v>
      </c>
      <c r="AD76" s="8">
        <f t="shared" si="83"/>
        <v>78683790.034459874</v>
      </c>
      <c r="AE76" s="8">
        <f t="shared" si="83"/>
        <v>25341619.791274473</v>
      </c>
      <c r="AF76" s="8">
        <f t="shared" si="83"/>
        <v>10041521.259860424</v>
      </c>
      <c r="AG76" s="8">
        <f t="shared" si="83"/>
        <v>4590752.5318908896</v>
      </c>
      <c r="AH76" s="8">
        <f t="shared" si="83"/>
        <v>2330427.3622312453</v>
      </c>
      <c r="AI76" s="8">
        <f t="shared" si="83"/>
        <v>1281485.6677349817</v>
      </c>
      <c r="AJ76" s="8">
        <f t="shared" si="83"/>
        <v>750558.71277911926</v>
      </c>
      <c r="AK76" s="8">
        <f t="shared" si="83"/>
        <v>462612.59345206164</v>
      </c>
      <c r="AL76" s="8">
        <f t="shared" si="83"/>
        <v>297406.05901364039</v>
      </c>
      <c r="AM76" s="8">
        <f t="shared" si="83"/>
        <v>198083.67910498651</v>
      </c>
      <c r="AN76" s="8">
        <f t="shared" si="83"/>
        <v>135967.20886049699</v>
      </c>
      <c r="AO76" s="8">
        <f t="shared" si="83"/>
        <v>95785.310644597383</v>
      </c>
      <c r="AP76" s="8">
        <f t="shared" si="83"/>
        <v>69021.734823114035</v>
      </c>
      <c r="AQ76" s="8">
        <f t="shared" si="83"/>
        <v>50734.492139641647</v>
      </c>
      <c r="AR76" s="8">
        <f t="shared" si="83"/>
        <v>37954.56806400499</v>
      </c>
      <c r="AS76" s="8">
        <f t="shared" si="83"/>
        <v>28843.046977058715</v>
      </c>
      <c r="AT76" s="8">
        <f t="shared" si="83"/>
        <v>22229.770076600151</v>
      </c>
      <c r="AW76" s="26">
        <v>60</v>
      </c>
      <c r="AX76" s="8">
        <f t="shared" si="59"/>
        <v>0.99997752882255375</v>
      </c>
      <c r="AY76" s="8">
        <f t="shared" si="60"/>
        <v>0.99994394609353277</v>
      </c>
      <c r="AZ76" s="8">
        <f t="shared" si="61"/>
        <v>0.9995608544980068</v>
      </c>
      <c r="BA76" s="8">
        <f t="shared" si="62"/>
        <v>0.99810915103467579</v>
      </c>
      <c r="BB76" s="8">
        <f t="shared" si="63"/>
        <v>0.99414073397933611</v>
      </c>
      <c r="BC76" s="8">
        <f t="shared" si="64"/>
        <v>0.98527900686533509</v>
      </c>
      <c r="BD76" s="8">
        <f t="shared" si="65"/>
        <v>0.96808137898489999</v>
      </c>
      <c r="BE76" s="8">
        <f t="shared" si="66"/>
        <v>0.93809651362480573</v>
      </c>
      <c r="BF76" s="8">
        <f t="shared" si="67"/>
        <v>0.89028925011133186</v>
      </c>
      <c r="BG76" s="8">
        <f t="shared" si="68"/>
        <v>0.82003177230327629</v>
      </c>
      <c r="BH76" s="8">
        <f t="shared" si="69"/>
        <v>0.72476282070047116</v>
      </c>
      <c r="BI76" s="8">
        <f t="shared" si="70"/>
        <v>0.60608833091536718</v>
      </c>
      <c r="BJ76" s="8">
        <f t="shared" si="71"/>
        <v>0.47151541513613104</v>
      </c>
      <c r="BK76" s="8">
        <f t="shared" si="72"/>
        <v>0.33445127320328638</v>
      </c>
      <c r="BL76" s="8">
        <f t="shared" si="73"/>
        <v>0.21124706431758003</v>
      </c>
      <c r="BM76" s="8">
        <f t="shared" si="74"/>
        <v>0.11560440279506168</v>
      </c>
      <c r="BN76" s="8">
        <f t="shared" si="75"/>
        <v>5.3115782063068266E-2</v>
      </c>
      <c r="BO76" s="8">
        <f t="shared" si="76"/>
        <v>1.9769036444388988E-2</v>
      </c>
      <c r="BP76" s="8">
        <f t="shared" si="77"/>
        <v>5.7238358662303132E-3</v>
      </c>
      <c r="BQ76" s="8">
        <f t="shared" si="78"/>
        <v>1.2319898910375336E-3</v>
      </c>
      <c r="BT76" s="26">
        <v>60</v>
      </c>
      <c r="BU76" s="8" t="str">
        <v>Si</v>
      </c>
      <c r="BV76" s="8" t="str">
        <v>GaN</v>
      </c>
      <c r="BW76" s="8" t="str">
        <v>GaN</v>
      </c>
      <c r="BX76" s="8" t="str">
        <v>GaN</v>
      </c>
      <c r="BY76" s="8" t="str">
        <v>GaN</v>
      </c>
      <c r="BZ76" s="8" t="str">
        <v>GaN</v>
      </c>
      <c r="CA76" s="8" t="str">
        <v>GaN</v>
      </c>
      <c r="CB76" s="8" t="str">
        <v>GaN</v>
      </c>
      <c r="CC76" s="8" t="str">
        <v>GaN</v>
      </c>
      <c r="CD76" s="8" t="str">
        <v>GaN</v>
      </c>
      <c r="CE76" s="8" t="str">
        <v>GaN</v>
      </c>
      <c r="CF76" s="8" t="str">
        <v>GaN</v>
      </c>
      <c r="CG76" s="8" t="str">
        <v>GaN</v>
      </c>
      <c r="CH76" s="8" t="str">
        <v>GaN</v>
      </c>
      <c r="CI76" s="8" t="str">
        <v>GaN</v>
      </c>
      <c r="CJ76" s="8" t="str">
        <v>GaN</v>
      </c>
      <c r="CK76" s="8" t="str">
        <v>GaN</v>
      </c>
      <c r="CL76" s="8" t="str">
        <v>GaN</v>
      </c>
      <c r="CM76" s="8" t="str">
        <v>GaN</v>
      </c>
      <c r="CN76" s="8" t="str">
        <v>GaN</v>
      </c>
    </row>
    <row r="77" spans="6:92" x14ac:dyDescent="0.3">
      <c r="F77">
        <v>40</v>
      </c>
      <c r="G77">
        <f t="shared" si="54"/>
        <v>313</v>
      </c>
      <c r="H77">
        <f t="shared" si="50"/>
        <v>37.076571648064736</v>
      </c>
      <c r="J77">
        <v>1.5</v>
      </c>
      <c r="K77">
        <f t="shared" si="55"/>
        <v>18850729.682733119</v>
      </c>
      <c r="L77">
        <f t="shared" si="51"/>
        <v>0.99213116322486616</v>
      </c>
      <c r="N77">
        <v>15</v>
      </c>
      <c r="O77">
        <f t="shared" si="56"/>
        <v>213622.47190107894</v>
      </c>
      <c r="P77">
        <f t="shared" si="52"/>
        <v>0.4980186909655942</v>
      </c>
      <c r="R77">
        <f t="shared" si="57"/>
        <v>213622.47190107894</v>
      </c>
      <c r="S77">
        <f t="shared" si="53"/>
        <v>0.4980186909655942</v>
      </c>
      <c r="Z77" s="26">
        <v>70</v>
      </c>
      <c r="AA77" s="8">
        <f t="shared" ref="AA77:AT77" si="84">MIN(AA16,AA43)</f>
        <v>3885857062.8530273</v>
      </c>
      <c r="AB77" s="8">
        <f t="shared" si="84"/>
        <v>1842446294.0850921</v>
      </c>
      <c r="AC77" s="8">
        <f t="shared" si="84"/>
        <v>235130560.2348837</v>
      </c>
      <c r="AD77" s="8">
        <f t="shared" si="84"/>
        <v>54568892.211432807</v>
      </c>
      <c r="AE77" s="8">
        <f t="shared" si="84"/>
        <v>17574955.632507514</v>
      </c>
      <c r="AF77" s="8">
        <f t="shared" si="84"/>
        <v>6964009.8809190001</v>
      </c>
      <c r="AG77" s="8">
        <f t="shared" si="84"/>
        <v>3183785.122353707</v>
      </c>
      <c r="AH77" s="8">
        <f t="shared" si="84"/>
        <v>1616201.2465398074</v>
      </c>
      <c r="AI77" s="8">
        <f t="shared" si="84"/>
        <v>888737.73419532075</v>
      </c>
      <c r="AJ77" s="8">
        <f t="shared" si="84"/>
        <v>520528.52916792862</v>
      </c>
      <c r="AK77" s="8">
        <f t="shared" si="84"/>
        <v>320831.73340634862</v>
      </c>
      <c r="AL77" s="8">
        <f t="shared" si="84"/>
        <v>206257.46637566341</v>
      </c>
      <c r="AM77" s="8">
        <f t="shared" si="84"/>
        <v>137375.27042342673</v>
      </c>
      <c r="AN77" s="8">
        <f t="shared" si="84"/>
        <v>94296.169024755902</v>
      </c>
      <c r="AO77" s="8">
        <f t="shared" si="84"/>
        <v>66429.162724806491</v>
      </c>
      <c r="AP77" s="8">
        <f t="shared" si="84"/>
        <v>47868.050155681129</v>
      </c>
      <c r="AQ77" s="8">
        <f t="shared" si="84"/>
        <v>35185.456010156653</v>
      </c>
      <c r="AR77" s="8">
        <f t="shared" si="84"/>
        <v>26322.305175044508</v>
      </c>
      <c r="AS77" s="8">
        <f t="shared" si="84"/>
        <v>20003.270315920214</v>
      </c>
      <c r="AT77" s="8">
        <f t="shared" si="84"/>
        <v>15416.82126221508</v>
      </c>
      <c r="AW77" s="26">
        <v>70</v>
      </c>
      <c r="AX77" s="8">
        <f t="shared" si="59"/>
        <v>0.99996167714250594</v>
      </c>
      <c r="AY77" s="8">
        <f t="shared" si="60"/>
        <v>0.99991917594437474</v>
      </c>
      <c r="AZ77" s="8">
        <f t="shared" si="61"/>
        <v>0.99936685027013961</v>
      </c>
      <c r="BA77" s="8">
        <f t="shared" si="62"/>
        <v>0.997274693047286</v>
      </c>
      <c r="BB77" s="8">
        <f t="shared" si="63"/>
        <v>0.99156237714368123</v>
      </c>
      <c r="BC77" s="8">
        <f t="shared" si="64"/>
        <v>0.97884278999590879</v>
      </c>
      <c r="BD77" s="8">
        <f t="shared" si="65"/>
        <v>0.95430255573099898</v>
      </c>
      <c r="BE77" s="8">
        <f t="shared" si="66"/>
        <v>0.9119756484192908</v>
      </c>
      <c r="BF77" s="8">
        <f t="shared" si="67"/>
        <v>0.84572291724496595</v>
      </c>
      <c r="BG77" s="8">
        <f t="shared" si="68"/>
        <v>0.75119212905312915</v>
      </c>
      <c r="BH77" s="8">
        <f t="shared" si="69"/>
        <v>0.6286575862593865</v>
      </c>
      <c r="BI77" s="8">
        <f t="shared" si="70"/>
        <v>0.48577475653875579</v>
      </c>
      <c r="BJ77" s="8">
        <f t="shared" si="71"/>
        <v>0.33822703680737609</v>
      </c>
      <c r="BK77" s="8">
        <f t="shared" si="72"/>
        <v>0.20612357131750836</v>
      </c>
      <c r="BL77" s="8">
        <f t="shared" si="73"/>
        <v>0.10626848636997767</v>
      </c>
      <c r="BM77" s="8">
        <f t="shared" si="74"/>
        <v>4.4554053452214824E-2</v>
      </c>
      <c r="BN77" s="8">
        <f t="shared" si="75"/>
        <v>1.4517062745219063E-2</v>
      </c>
      <c r="BO77" s="8">
        <f t="shared" si="76"/>
        <v>3.4910273820301803E-3</v>
      </c>
      <c r="BP77" s="8">
        <f t="shared" si="77"/>
        <v>5.8448311790527409E-4</v>
      </c>
      <c r="BQ77" s="8">
        <f t="shared" si="78"/>
        <v>6.3811392918570377E-5</v>
      </c>
      <c r="BT77" s="26">
        <v>70</v>
      </c>
      <c r="BU77" s="8" t="str">
        <v>Si</v>
      </c>
      <c r="BV77" s="8" t="str">
        <v>GaN</v>
      </c>
      <c r="BW77" s="8" t="str">
        <v>GaN</v>
      </c>
      <c r="BX77" s="8" t="str">
        <v>GaN</v>
      </c>
      <c r="BY77" s="8" t="str">
        <v>GaN</v>
      </c>
      <c r="BZ77" s="8" t="str">
        <v>GaN</v>
      </c>
      <c r="CA77" s="8" t="str">
        <v>GaN</v>
      </c>
      <c r="CB77" s="8" t="str">
        <v>GaN</v>
      </c>
      <c r="CC77" s="8" t="str">
        <v>GaN</v>
      </c>
      <c r="CD77" s="8" t="str">
        <v>GaN</v>
      </c>
      <c r="CE77" s="8" t="str">
        <v>GaN</v>
      </c>
      <c r="CF77" s="8" t="str">
        <v>GaN</v>
      </c>
      <c r="CG77" s="8" t="str">
        <v>GaN</v>
      </c>
      <c r="CH77" s="8" t="str">
        <v>GaN</v>
      </c>
      <c r="CI77" s="8" t="str">
        <v>GaN</v>
      </c>
      <c r="CJ77" s="8" t="str">
        <v>GaN</v>
      </c>
      <c r="CK77" s="8" t="str">
        <v>GaN</v>
      </c>
      <c r="CL77" s="8" t="str">
        <v>GaN</v>
      </c>
      <c r="CM77" s="8" t="str">
        <v>GaN</v>
      </c>
      <c r="CN77" s="8" t="str">
        <v>GaN</v>
      </c>
    </row>
    <row r="78" spans="6:92" x14ac:dyDescent="0.3">
      <c r="F78">
        <v>40</v>
      </c>
      <c r="G78">
        <f t="shared" si="54"/>
        <v>313</v>
      </c>
      <c r="H78">
        <f t="shared" si="50"/>
        <v>37.076571648064736</v>
      </c>
      <c r="J78">
        <v>1.6</v>
      </c>
      <c r="K78">
        <f t="shared" si="55"/>
        <v>11407164.502198912</v>
      </c>
      <c r="L78">
        <f t="shared" si="51"/>
        <v>0.98702989296812049</v>
      </c>
      <c r="N78">
        <v>16</v>
      </c>
      <c r="O78">
        <f t="shared" si="56"/>
        <v>153933.76613375367</v>
      </c>
      <c r="P78">
        <f t="shared" si="52"/>
        <v>0.38005888846620645</v>
      </c>
      <c r="R78">
        <f t="shared" si="57"/>
        <v>153933.76613375367</v>
      </c>
      <c r="S78">
        <f t="shared" si="53"/>
        <v>0.38005888846620645</v>
      </c>
      <c r="Z78" s="26">
        <v>80</v>
      </c>
      <c r="AA78" s="8">
        <f t="shared" ref="AA78:AT78" si="85">MIN(AA17,AA44)</f>
        <v>2348477912.0299835</v>
      </c>
      <c r="AB78" s="8">
        <f t="shared" si="85"/>
        <v>1304547240.9880323</v>
      </c>
      <c r="AC78" s="8">
        <f t="shared" si="85"/>
        <v>166484594.21103829</v>
      </c>
      <c r="AD78" s="8">
        <f t="shared" si="85"/>
        <v>38637597.20255392</v>
      </c>
      <c r="AE78" s="8">
        <f t="shared" si="85"/>
        <v>12443977.31129517</v>
      </c>
      <c r="AF78" s="8">
        <f t="shared" si="85"/>
        <v>4930879.0739420587</v>
      </c>
      <c r="AG78" s="8">
        <f t="shared" si="85"/>
        <v>2254284.48611998</v>
      </c>
      <c r="AH78" s="8">
        <f t="shared" si="85"/>
        <v>1144354.049191921</v>
      </c>
      <c r="AI78" s="8">
        <f t="shared" si="85"/>
        <v>629272.26852068817</v>
      </c>
      <c r="AJ78" s="8">
        <f t="shared" si="85"/>
        <v>368561.11288648401</v>
      </c>
      <c r="AK78" s="8">
        <f t="shared" si="85"/>
        <v>227165.45604630251</v>
      </c>
      <c r="AL78" s="8">
        <f t="shared" si="85"/>
        <v>146040.9508583085</v>
      </c>
      <c r="AM78" s="8">
        <f t="shared" si="85"/>
        <v>97268.794529426523</v>
      </c>
      <c r="AN78" s="8">
        <f t="shared" si="85"/>
        <v>66766.563308740413</v>
      </c>
      <c r="AO78" s="8">
        <f t="shared" si="85"/>
        <v>47035.281968326948</v>
      </c>
      <c r="AP78" s="8">
        <f t="shared" si="85"/>
        <v>33893.054556078438</v>
      </c>
      <c r="AQ78" s="8">
        <f t="shared" si="85"/>
        <v>24913.122140012689</v>
      </c>
      <c r="AR78" s="8">
        <f t="shared" si="85"/>
        <v>18637.553074295149</v>
      </c>
      <c r="AS78" s="8">
        <f t="shared" si="85"/>
        <v>14163.349664598871</v>
      </c>
      <c r="AT78" s="8">
        <f t="shared" si="85"/>
        <v>10915.906589513572</v>
      </c>
      <c r="AW78" s="26">
        <v>80</v>
      </c>
      <c r="AX78" s="8">
        <f t="shared" si="59"/>
        <v>0.99993659072638807</v>
      </c>
      <c r="AY78" s="8">
        <f t="shared" si="60"/>
        <v>0.99988585196787272</v>
      </c>
      <c r="AZ78" s="8">
        <f t="shared" si="61"/>
        <v>0.9991059027635556</v>
      </c>
      <c r="BA78" s="8">
        <f t="shared" si="62"/>
        <v>0.99615314124952004</v>
      </c>
      <c r="BB78" s="8">
        <f t="shared" si="63"/>
        <v>0.98810408762700519</v>
      </c>
      <c r="BC78" s="8">
        <f t="shared" si="64"/>
        <v>0.97024999752337693</v>
      </c>
      <c r="BD78" s="8">
        <f t="shared" si="65"/>
        <v>0.93607388140671388</v>
      </c>
      <c r="BE78" s="8">
        <f t="shared" si="66"/>
        <v>0.8779772905393407</v>
      </c>
      <c r="BF78" s="8">
        <f t="shared" si="67"/>
        <v>0.78926407467703985</v>
      </c>
      <c r="BG78" s="8">
        <f t="shared" si="68"/>
        <v>0.66760551885710318</v>
      </c>
      <c r="BH78" s="8">
        <f t="shared" si="69"/>
        <v>0.51915259651452406</v>
      </c>
      <c r="BI78" s="8">
        <f t="shared" si="70"/>
        <v>0.36069809041856116</v>
      </c>
      <c r="BJ78" s="8">
        <f t="shared" si="71"/>
        <v>0.21631595832504177</v>
      </c>
      <c r="BK78" s="8">
        <f t="shared" si="72"/>
        <v>0.1074792179632708</v>
      </c>
      <c r="BL78" s="8">
        <f t="shared" si="73"/>
        <v>4.2166302986218651E-2</v>
      </c>
      <c r="BM78" s="8">
        <f t="shared" si="74"/>
        <v>1.235344186165967E-2</v>
      </c>
      <c r="BN78" s="8">
        <f t="shared" si="75"/>
        <v>2.5349718434156763E-3</v>
      </c>
      <c r="BO78" s="8">
        <f t="shared" si="76"/>
        <v>3.3872591153491049E-4</v>
      </c>
      <c r="BP78" s="8">
        <f t="shared" si="77"/>
        <v>2.714108653231308E-5</v>
      </c>
      <c r="BQ78" s="8">
        <f t="shared" si="78"/>
        <v>1.1889065006834398E-6</v>
      </c>
      <c r="BT78" s="26">
        <v>80</v>
      </c>
      <c r="BU78" s="8" t="str">
        <v>Si</v>
      </c>
      <c r="BV78" s="8" t="str">
        <v>GaN</v>
      </c>
      <c r="BW78" s="8" t="str">
        <v>GaN</v>
      </c>
      <c r="BX78" s="8" t="str">
        <v>GaN</v>
      </c>
      <c r="BY78" s="8" t="str">
        <v>GaN</v>
      </c>
      <c r="BZ78" s="8" t="str">
        <v>GaN</v>
      </c>
      <c r="CA78" s="8" t="str">
        <v>GaN</v>
      </c>
      <c r="CB78" s="8" t="str">
        <v>GaN</v>
      </c>
      <c r="CC78" s="8" t="str">
        <v>GaN</v>
      </c>
      <c r="CD78" s="8" t="str">
        <v>GaN</v>
      </c>
      <c r="CE78" s="8" t="str">
        <v>GaN</v>
      </c>
      <c r="CF78" s="8" t="str">
        <v>GaN</v>
      </c>
      <c r="CG78" s="8" t="str">
        <v>GaN</v>
      </c>
      <c r="CH78" s="8" t="str">
        <v>GaN</v>
      </c>
      <c r="CI78" s="8" t="str">
        <v>GaN</v>
      </c>
      <c r="CJ78" s="8" t="str">
        <v>GaN</v>
      </c>
      <c r="CK78" s="8" t="str">
        <v>GaN</v>
      </c>
      <c r="CL78" s="8" t="str">
        <v>GaN</v>
      </c>
      <c r="CM78" s="8" t="str">
        <v>GaN</v>
      </c>
      <c r="CN78" s="8" t="str">
        <v>GaN</v>
      </c>
    </row>
    <row r="79" spans="6:92" x14ac:dyDescent="0.3">
      <c r="F79">
        <v>40</v>
      </c>
      <c r="G79">
        <f t="shared" si="54"/>
        <v>313</v>
      </c>
      <c r="H79">
        <f t="shared" si="50"/>
        <v>37.076571648064736</v>
      </c>
      <c r="J79">
        <v>1.7</v>
      </c>
      <c r="K79">
        <f t="shared" si="55"/>
        <v>6902831.0399791757</v>
      </c>
      <c r="L79">
        <f t="shared" si="51"/>
        <v>0.97865729190585871</v>
      </c>
      <c r="N79">
        <v>17</v>
      </c>
      <c r="O79">
        <f t="shared" si="56"/>
        <v>113149.16189737711</v>
      </c>
      <c r="P79">
        <f t="shared" si="52"/>
        <v>0.26816876382217131</v>
      </c>
      <c r="R79">
        <f t="shared" si="57"/>
        <v>113149.16189737711</v>
      </c>
      <c r="S79">
        <f t="shared" si="53"/>
        <v>0.26816876382217131</v>
      </c>
      <c r="Z79" s="26">
        <v>90</v>
      </c>
      <c r="AA79" s="8">
        <f t="shared" ref="AA79:AT79" si="86">MIN(AA18,AA45)</f>
        <v>1459270301.2822068</v>
      </c>
      <c r="AB79" s="8">
        <f t="shared" si="86"/>
        <v>883049975.25623703</v>
      </c>
      <c r="AC79" s="8">
        <f t="shared" si="86"/>
        <v>120143397.25691779</v>
      </c>
      <c r="AD79" s="8">
        <f t="shared" si="86"/>
        <v>27882773.248525798</v>
      </c>
      <c r="AE79" s="8">
        <f t="shared" si="86"/>
        <v>8980180.5185159985</v>
      </c>
      <c r="AF79" s="8">
        <f t="shared" si="86"/>
        <v>3558362.6594031453</v>
      </c>
      <c r="AG79" s="8">
        <f t="shared" si="86"/>
        <v>1626801.553798438</v>
      </c>
      <c r="AH79" s="8">
        <f t="shared" si="86"/>
        <v>825821.65506766003</v>
      </c>
      <c r="AI79" s="8">
        <f t="shared" si="86"/>
        <v>454113.53824010608</v>
      </c>
      <c r="AJ79" s="8">
        <f t="shared" si="86"/>
        <v>265971.66187546682</v>
      </c>
      <c r="AK79" s="8">
        <f t="shared" si="86"/>
        <v>163933.66460216459</v>
      </c>
      <c r="AL79" s="8">
        <f t="shared" si="86"/>
        <v>105390.26783767383</v>
      </c>
      <c r="AM79" s="8">
        <f t="shared" si="86"/>
        <v>70193.902788607593</v>
      </c>
      <c r="AN79" s="8">
        <f t="shared" si="86"/>
        <v>48182.00613152772</v>
      </c>
      <c r="AO79" s="8">
        <f t="shared" si="86"/>
        <v>33942.951859248817</v>
      </c>
      <c r="AP79" s="8">
        <f t="shared" si="86"/>
        <v>24458.880036789225</v>
      </c>
      <c r="AQ79" s="8">
        <f t="shared" si="86"/>
        <v>17978.52314421058</v>
      </c>
      <c r="AR79" s="8">
        <f t="shared" si="86"/>
        <v>13449.766649660785</v>
      </c>
      <c r="AS79" s="8">
        <f t="shared" si="86"/>
        <v>10220.963406893499</v>
      </c>
      <c r="AT79" s="8">
        <f t="shared" si="86"/>
        <v>7877.4502110441053</v>
      </c>
      <c r="AW79" s="26">
        <v>90</v>
      </c>
      <c r="AX79" s="8">
        <f t="shared" si="59"/>
        <v>0.99989795420258343</v>
      </c>
      <c r="AY79" s="8">
        <f t="shared" si="60"/>
        <v>0.99983137144245826</v>
      </c>
      <c r="AZ79" s="8">
        <f t="shared" si="61"/>
        <v>0.9987612490827652</v>
      </c>
      <c r="BA79" s="8">
        <f t="shared" si="62"/>
        <v>0.99467330527245434</v>
      </c>
      <c r="BB79" s="8">
        <f t="shared" si="63"/>
        <v>0.98355355852314641</v>
      </c>
      <c r="BC79" s="8">
        <f t="shared" si="64"/>
        <v>0.95901294193418185</v>
      </c>
      <c r="BD79" s="8">
        <f t="shared" si="65"/>
        <v>0.91252336399243406</v>
      </c>
      <c r="BE79" s="8">
        <f t="shared" si="66"/>
        <v>0.83499504143019154</v>
      </c>
      <c r="BF79" s="8">
        <f t="shared" si="67"/>
        <v>0.72040940564641653</v>
      </c>
      <c r="BG79" s="8">
        <f t="shared" si="68"/>
        <v>0.57126088993937607</v>
      </c>
      <c r="BH79" s="8">
        <f t="shared" si="69"/>
        <v>0.40316223877796603</v>
      </c>
      <c r="BI79" s="8">
        <f t="shared" si="70"/>
        <v>0.24340374825273928</v>
      </c>
      <c r="BJ79" s="8">
        <f t="shared" si="71"/>
        <v>0.11984550926196774</v>
      </c>
      <c r="BK79" s="8">
        <f t="shared" si="72"/>
        <v>4.5466458705330413E-2</v>
      </c>
      <c r="BL79" s="8">
        <f t="shared" si="73"/>
        <v>1.2433491814710079E-2</v>
      </c>
      <c r="BM79" s="8">
        <f t="shared" si="74"/>
        <v>2.2686139649524531E-3</v>
      </c>
      <c r="BN79" s="8">
        <f t="shared" si="75"/>
        <v>2.5272300148469773E-4</v>
      </c>
      <c r="BO79" s="8">
        <f t="shared" si="76"/>
        <v>1.5536615060750427E-5</v>
      </c>
      <c r="BP79" s="8">
        <f t="shared" si="77"/>
        <v>4.7022473418776524E-7</v>
      </c>
      <c r="BQ79" s="8">
        <f t="shared" si="78"/>
        <v>6.1636650879428125E-9</v>
      </c>
      <c r="BT79" s="26">
        <v>90</v>
      </c>
      <c r="BU79" s="8" t="str">
        <v>Si</v>
      </c>
      <c r="BV79" s="8" t="str">
        <v>Si</v>
      </c>
      <c r="BW79" s="8" t="str">
        <v>GaN</v>
      </c>
      <c r="BX79" s="8" t="str">
        <v>GaN</v>
      </c>
      <c r="BY79" s="8" t="str">
        <v>GaN</v>
      </c>
      <c r="BZ79" s="8" t="str">
        <v>GaN</v>
      </c>
      <c r="CA79" s="8" t="str">
        <v>GaN</v>
      </c>
      <c r="CB79" s="8" t="str">
        <v>GaN</v>
      </c>
      <c r="CC79" s="8" t="str">
        <v>GaN</v>
      </c>
      <c r="CD79" s="8" t="str">
        <v>GaN</v>
      </c>
      <c r="CE79" s="8" t="str">
        <v>GaN</v>
      </c>
      <c r="CF79" s="8" t="str">
        <v>GaN</v>
      </c>
      <c r="CG79" s="8" t="str">
        <v>GaN</v>
      </c>
      <c r="CH79" s="8" t="str">
        <v>GaN</v>
      </c>
      <c r="CI79" s="8" t="str">
        <v>GaN</v>
      </c>
      <c r="CJ79" s="8" t="str">
        <v>GaN</v>
      </c>
      <c r="CK79" s="8" t="str">
        <v>GaN</v>
      </c>
      <c r="CL79" s="8" t="str">
        <v>GaN</v>
      </c>
      <c r="CM79" s="8" t="str">
        <v>GaN</v>
      </c>
      <c r="CN79" s="8" t="str">
        <v>GaN</v>
      </c>
    </row>
    <row r="80" spans="6:92" x14ac:dyDescent="0.3">
      <c r="F80">
        <v>40</v>
      </c>
      <c r="G80">
        <f t="shared" si="54"/>
        <v>313</v>
      </c>
      <c r="H80">
        <f t="shared" si="50"/>
        <v>37.076571648064736</v>
      </c>
      <c r="J80">
        <v>1.8</v>
      </c>
      <c r="K80">
        <f t="shared" si="55"/>
        <v>4177118.3677867353</v>
      </c>
      <c r="L80">
        <f t="shared" si="51"/>
        <v>0.96497665291704782</v>
      </c>
      <c r="N80">
        <v>18</v>
      </c>
      <c r="O80">
        <f t="shared" si="56"/>
        <v>84647.098758747001</v>
      </c>
      <c r="P80">
        <f t="shared" si="52"/>
        <v>0.1721646069005181</v>
      </c>
      <c r="R80">
        <f t="shared" si="57"/>
        <v>84647.098758747001</v>
      </c>
      <c r="S80">
        <f t="shared" si="53"/>
        <v>0.1721646069005181</v>
      </c>
      <c r="Z80" s="26">
        <v>100</v>
      </c>
      <c r="AA80" s="8">
        <f t="shared" ref="AA80:AT80" si="87">MIN(AA19,AA46)</f>
        <v>930176742.10259211</v>
      </c>
      <c r="AB80" s="8">
        <f t="shared" si="87"/>
        <v>562878959.6936866</v>
      </c>
      <c r="AC80" s="8">
        <f t="shared" si="87"/>
        <v>88231209.623149917</v>
      </c>
      <c r="AD80" s="8">
        <f t="shared" si="87"/>
        <v>20476621.0006916</v>
      </c>
      <c r="AE80" s="8">
        <f t="shared" si="87"/>
        <v>6594887.5083710868</v>
      </c>
      <c r="AF80" s="8">
        <f t="shared" si="87"/>
        <v>2613199.3008788549</v>
      </c>
      <c r="AG80" s="8">
        <f t="shared" si="87"/>
        <v>1194694.6081565986</v>
      </c>
      <c r="AH80" s="8">
        <f t="shared" si="87"/>
        <v>606468.9797625636</v>
      </c>
      <c r="AI80" s="8">
        <f t="shared" si="87"/>
        <v>333493.0399836523</v>
      </c>
      <c r="AJ80" s="8">
        <f t="shared" si="87"/>
        <v>195324.93660529185</v>
      </c>
      <c r="AK80" s="8">
        <f t="shared" si="87"/>
        <v>120390.01606450662</v>
      </c>
      <c r="AL80" s="8">
        <f t="shared" si="87"/>
        <v>77396.769411648216</v>
      </c>
      <c r="AM80" s="8">
        <f t="shared" si="87"/>
        <v>51549.174508231554</v>
      </c>
      <c r="AN80" s="8">
        <f t="shared" si="87"/>
        <v>35384.022593966874</v>
      </c>
      <c r="AO80" s="8">
        <f t="shared" si="87"/>
        <v>24927.110179160743</v>
      </c>
      <c r="AP80" s="8">
        <f t="shared" si="87"/>
        <v>17962.173710292416</v>
      </c>
      <c r="AQ80" s="8">
        <f t="shared" si="87"/>
        <v>13203.112950596706</v>
      </c>
      <c r="AR80" s="8">
        <f t="shared" si="87"/>
        <v>9877.2733894899284</v>
      </c>
      <c r="AS80" s="8">
        <f t="shared" si="87"/>
        <v>7506.0967601549919</v>
      </c>
      <c r="AT80" s="8">
        <f t="shared" si="87"/>
        <v>5785.0616574481719</v>
      </c>
      <c r="AW80" s="26">
        <v>100</v>
      </c>
      <c r="AX80" s="8">
        <f t="shared" si="59"/>
        <v>0.99983991420882301</v>
      </c>
      <c r="AY80" s="8">
        <f t="shared" si="60"/>
        <v>0.99973546656984069</v>
      </c>
      <c r="AZ80" s="8">
        <f t="shared" si="61"/>
        <v>0.9983135854661227</v>
      </c>
      <c r="BA80" s="8">
        <f t="shared" si="62"/>
        <v>0.99275369767713395</v>
      </c>
      <c r="BB80" s="8">
        <f t="shared" si="63"/>
        <v>0.97767191725615776</v>
      </c>
      <c r="BC80" s="8">
        <f t="shared" si="64"/>
        <v>0.94460576667377272</v>
      </c>
      <c r="BD80" s="8">
        <f t="shared" si="65"/>
        <v>0.88280485730935809</v>
      </c>
      <c r="BE80" s="8">
        <f t="shared" si="66"/>
        <v>0.78227218008587918</v>
      </c>
      <c r="BF80" s="8">
        <f t="shared" si="67"/>
        <v>0.63983429457575713</v>
      </c>
      <c r="BG80" s="8">
        <f t="shared" si="68"/>
        <v>0.46653517833061481</v>
      </c>
      <c r="BH80" s="8">
        <f t="shared" si="69"/>
        <v>0.29025958069063162</v>
      </c>
      <c r="BI80" s="8">
        <f t="shared" si="70"/>
        <v>0.146005451638751</v>
      </c>
      <c r="BJ80" s="8">
        <f t="shared" si="71"/>
        <v>5.5637822854502354E-2</v>
      </c>
      <c r="BK80" s="8">
        <f t="shared" si="72"/>
        <v>1.4865990336411387E-2</v>
      </c>
      <c r="BL80" s="8">
        <f t="shared" si="73"/>
        <v>2.5434893310122249E-3</v>
      </c>
      <c r="BM80" s="8">
        <f t="shared" si="74"/>
        <v>2.5082476000604727E-4</v>
      </c>
      <c r="BN80" s="8">
        <f t="shared" si="75"/>
        <v>1.2633504035990948E-5</v>
      </c>
      <c r="BO80" s="8">
        <f t="shared" si="76"/>
        <v>2.8322184425397699E-7</v>
      </c>
      <c r="BP80" s="8">
        <f t="shared" si="77"/>
        <v>2.4190954658927835E-9</v>
      </c>
      <c r="BQ80" s="8">
        <f t="shared" si="78"/>
        <v>6.6118146159081179E-12</v>
      </c>
      <c r="BT80" s="26">
        <v>100</v>
      </c>
      <c r="BU80" s="8" t="str">
        <v>Si</v>
      </c>
      <c r="BV80" s="8" t="str">
        <v>Si</v>
      </c>
      <c r="BW80" s="8" t="str">
        <v>GaN</v>
      </c>
      <c r="BX80" s="8" t="str">
        <v>GaN</v>
      </c>
      <c r="BY80" s="8" t="str">
        <v>GaN</v>
      </c>
      <c r="BZ80" s="8" t="str">
        <v>GaN</v>
      </c>
      <c r="CA80" s="8" t="str">
        <v>GaN</v>
      </c>
      <c r="CB80" s="8" t="str">
        <v>GaN</v>
      </c>
      <c r="CC80" s="8" t="str">
        <v>GaN</v>
      </c>
      <c r="CD80" s="8" t="str">
        <v>GaN</v>
      </c>
      <c r="CE80" s="8" t="str">
        <v>GaN</v>
      </c>
      <c r="CF80" s="8" t="str">
        <v>GaN</v>
      </c>
      <c r="CG80" s="8" t="str">
        <v>GaN</v>
      </c>
      <c r="CH80" s="8" t="str">
        <v>GaN</v>
      </c>
      <c r="CI80" s="8" t="str">
        <v>GaN</v>
      </c>
      <c r="CJ80" s="8" t="str">
        <v>GaN</v>
      </c>
      <c r="CK80" s="8" t="str">
        <v>GaN</v>
      </c>
      <c r="CL80" s="8" t="str">
        <v>GaN</v>
      </c>
      <c r="CM80" s="8" t="str">
        <v>GaN</v>
      </c>
      <c r="CN80" s="8" t="str">
        <v>GaN</v>
      </c>
    </row>
    <row r="81" spans="6:92" x14ac:dyDescent="0.3">
      <c r="F81">
        <v>40</v>
      </c>
      <c r="G81">
        <f t="shared" si="54"/>
        <v>313</v>
      </c>
      <c r="H81">
        <f t="shared" si="50"/>
        <v>37.076571648064736</v>
      </c>
      <c r="J81">
        <v>1.9</v>
      </c>
      <c r="K81">
        <f t="shared" si="55"/>
        <v>2527704.6124185612</v>
      </c>
      <c r="L81">
        <f t="shared" si="51"/>
        <v>0.94278679717411562</v>
      </c>
      <c r="N81">
        <v>19</v>
      </c>
      <c r="O81">
        <f t="shared" si="56"/>
        <v>64326.387323208583</v>
      </c>
      <c r="P81">
        <f t="shared" si="52"/>
        <v>9.8759408019755593E-2</v>
      </c>
      <c r="R81">
        <f t="shared" si="57"/>
        <v>64326.387323208583</v>
      </c>
      <c r="S81">
        <f t="shared" si="53"/>
        <v>9.8759408019755593E-2</v>
      </c>
      <c r="Z81" s="26">
        <v>110</v>
      </c>
      <c r="AA81" s="8">
        <f t="shared" ref="AA81:AT81" si="88">MIN(AA20,AA47)</f>
        <v>607026646.14239538</v>
      </c>
      <c r="AB81" s="8">
        <f t="shared" si="88"/>
        <v>367330757.28665543</v>
      </c>
      <c r="AC81" s="8">
        <f t="shared" si="88"/>
        <v>65848517.773830108</v>
      </c>
      <c r="AD81" s="8">
        <f t="shared" si="88"/>
        <v>15282065.696153</v>
      </c>
      <c r="AE81" s="8">
        <f t="shared" si="88"/>
        <v>4921881.6013766006</v>
      </c>
      <c r="AF81" s="8">
        <f t="shared" si="88"/>
        <v>1950277.0204040471</v>
      </c>
      <c r="AG81" s="8">
        <f t="shared" si="88"/>
        <v>891621.79092303663</v>
      </c>
      <c r="AH81" s="8">
        <f t="shared" si="88"/>
        <v>452618.56392699509</v>
      </c>
      <c r="AI81" s="8">
        <f t="shared" si="88"/>
        <v>248891.77496950398</v>
      </c>
      <c r="AJ81" s="8">
        <f t="shared" si="88"/>
        <v>145774.46704698849</v>
      </c>
      <c r="AK81" s="8">
        <f t="shared" si="88"/>
        <v>89849.205813623528</v>
      </c>
      <c r="AL81" s="8">
        <f t="shared" si="88"/>
        <v>57762.582741501363</v>
      </c>
      <c r="AM81" s="8">
        <f t="shared" si="88"/>
        <v>38472.063891334554</v>
      </c>
      <c r="AN81" s="8">
        <f t="shared" si="88"/>
        <v>26407.724099444935</v>
      </c>
      <c r="AO81" s="8">
        <f t="shared" si="88"/>
        <v>18603.544762600843</v>
      </c>
      <c r="AP81" s="8">
        <f t="shared" si="88"/>
        <v>13405.489053937647</v>
      </c>
      <c r="AQ81" s="8">
        <f t="shared" si="88"/>
        <v>9853.7175395262966</v>
      </c>
      <c r="AR81" s="8">
        <f t="shared" si="88"/>
        <v>7371.5844441302461</v>
      </c>
      <c r="AS81" s="8">
        <f t="shared" si="88"/>
        <v>5601.9332392046263</v>
      </c>
      <c r="AT81" s="8">
        <f t="shared" si="88"/>
        <v>4317.4941950838829</v>
      </c>
      <c r="AW81" s="26">
        <v>110</v>
      </c>
      <c r="AX81" s="8">
        <f t="shared" si="59"/>
        <v>0.99975470313305892</v>
      </c>
      <c r="AY81" s="8">
        <f t="shared" si="60"/>
        <v>0.99959467097647514</v>
      </c>
      <c r="AZ81" s="8">
        <f t="shared" si="61"/>
        <v>0.99774100106475605</v>
      </c>
      <c r="BA81" s="8">
        <f t="shared" si="62"/>
        <v>0.99030257037205227</v>
      </c>
      <c r="BB81" s="8">
        <f t="shared" si="63"/>
        <v>0.97019643146305001</v>
      </c>
      <c r="BC81" s="8">
        <f t="shared" si="64"/>
        <v>0.92648411074713677</v>
      </c>
      <c r="BD81" s="8">
        <f t="shared" si="65"/>
        <v>0.84618142673751251</v>
      </c>
      <c r="BE81" s="8">
        <f t="shared" si="66"/>
        <v>0.71962951423423871</v>
      </c>
      <c r="BF81" s="8">
        <f t="shared" si="67"/>
        <v>0.54972762673576081</v>
      </c>
      <c r="BG81" s="8">
        <f t="shared" si="68"/>
        <v>0.36002634166757252</v>
      </c>
      <c r="BH81" s="8">
        <f t="shared" si="69"/>
        <v>0.19062565442065887</v>
      </c>
      <c r="BI81" s="8">
        <f t="shared" si="70"/>
        <v>7.5915107772933851E-2</v>
      </c>
      <c r="BJ81" s="8">
        <f t="shared" si="71"/>
        <v>2.0840424439724146E-2</v>
      </c>
      <c r="BK81" s="8">
        <f t="shared" si="72"/>
        <v>3.5555014915131036E-3</v>
      </c>
      <c r="BL81" s="8">
        <f t="shared" si="73"/>
        <v>3.3381418737158205E-4</v>
      </c>
      <c r="BM81" s="8">
        <f t="shared" si="74"/>
        <v>1.497868609299439E-5</v>
      </c>
      <c r="BN81" s="8">
        <f t="shared" si="75"/>
        <v>2.7319559833339953E-7</v>
      </c>
      <c r="BO81" s="8">
        <f t="shared" si="76"/>
        <v>1.6843292868744071E-9</v>
      </c>
      <c r="BP81" s="8">
        <f t="shared" si="77"/>
        <v>2.8500633589507724E-12</v>
      </c>
      <c r="BQ81" s="8">
        <f t="shared" si="78"/>
        <v>1.0476473629607921E-15</v>
      </c>
      <c r="BT81" s="26">
        <v>110</v>
      </c>
      <c r="BU81" s="8" t="str">
        <v>Si</v>
      </c>
      <c r="BV81" s="8" t="str">
        <v>Si</v>
      </c>
      <c r="BW81" s="8" t="str">
        <v>GaN</v>
      </c>
      <c r="BX81" s="8" t="str">
        <v>GaN</v>
      </c>
      <c r="BY81" s="8" t="str">
        <v>GaN</v>
      </c>
      <c r="BZ81" s="8" t="str">
        <v>GaN</v>
      </c>
      <c r="CA81" s="8" t="str">
        <v>GaN</v>
      </c>
      <c r="CB81" s="8" t="str">
        <v>GaN</v>
      </c>
      <c r="CC81" s="8" t="str">
        <v>GaN</v>
      </c>
      <c r="CD81" s="8" t="str">
        <v>GaN</v>
      </c>
      <c r="CE81" s="8" t="str">
        <v>GaN</v>
      </c>
      <c r="CF81" s="8" t="str">
        <v>GaN</v>
      </c>
      <c r="CG81" s="8" t="str">
        <v>GaN</v>
      </c>
      <c r="CH81" s="8" t="str">
        <v>GaN</v>
      </c>
      <c r="CI81" s="8" t="str">
        <v>GaN</v>
      </c>
      <c r="CJ81" s="8" t="str">
        <v>GaN</v>
      </c>
      <c r="CK81" s="8" t="str">
        <v>GaN</v>
      </c>
      <c r="CL81" s="8" t="str">
        <v>GaN</v>
      </c>
      <c r="CM81" s="8" t="str">
        <v>GaN</v>
      </c>
      <c r="CN81" s="8" t="str">
        <v>GaN</v>
      </c>
    </row>
    <row r="82" spans="6:92" x14ac:dyDescent="0.3">
      <c r="F82">
        <v>40</v>
      </c>
      <c r="G82">
        <f t="shared" si="54"/>
        <v>313</v>
      </c>
      <c r="H82">
        <f t="shared" si="50"/>
        <v>37.076571648064736</v>
      </c>
      <c r="J82">
        <v>2</v>
      </c>
      <c r="K82">
        <f t="shared" ref="K82:K84" si="89">$C$7*EXP($C$5*H82)*EXP(-$C$6*J82)</f>
        <v>1529592.9023499142</v>
      </c>
      <c r="L82">
        <f t="shared" si="51"/>
        <v>0.90723003574042971</v>
      </c>
      <c r="N82">
        <v>20</v>
      </c>
      <c r="O82">
        <f t="shared" si="56"/>
        <v>49577.314116314432</v>
      </c>
      <c r="P82">
        <f t="shared" si="52"/>
        <v>4.9598572801395305E-2</v>
      </c>
      <c r="R82">
        <f t="shared" si="57"/>
        <v>49577.314116314432</v>
      </c>
      <c r="S82">
        <f t="shared" si="53"/>
        <v>4.9598572801395305E-2</v>
      </c>
      <c r="Z82" s="26">
        <v>120</v>
      </c>
      <c r="AA82" s="8">
        <f t="shared" ref="AA82:AT82" si="90">MIN(AA21,AA48)</f>
        <v>404839609.51133335</v>
      </c>
      <c r="AB82" s="8">
        <f t="shared" si="90"/>
        <v>244981075.0260669</v>
      </c>
      <c r="AC82" s="8">
        <f t="shared" si="90"/>
        <v>49881184.466632567</v>
      </c>
      <c r="AD82" s="8">
        <f t="shared" si="90"/>
        <v>11576381.121276477</v>
      </c>
      <c r="AE82" s="8">
        <f t="shared" si="90"/>
        <v>3728394.9947733344</v>
      </c>
      <c r="AF82" s="8">
        <f t="shared" si="90"/>
        <v>1477362.4540789772</v>
      </c>
      <c r="AG82" s="8">
        <f t="shared" si="90"/>
        <v>675416.1297944485</v>
      </c>
      <c r="AH82" s="8">
        <f t="shared" si="90"/>
        <v>342864.97013965447</v>
      </c>
      <c r="AI82" s="8">
        <f t="shared" si="90"/>
        <v>188539.04323440179</v>
      </c>
      <c r="AJ82" s="8">
        <f t="shared" si="90"/>
        <v>110426.22259579129</v>
      </c>
      <c r="AK82" s="8">
        <f t="shared" si="90"/>
        <v>68062.045447452227</v>
      </c>
      <c r="AL82" s="8">
        <f t="shared" si="90"/>
        <v>43755.974202703241</v>
      </c>
      <c r="AM82" s="8">
        <f t="shared" si="90"/>
        <v>29143.133067429582</v>
      </c>
      <c r="AN82" s="8">
        <f t="shared" si="90"/>
        <v>20004.22487371249</v>
      </c>
      <c r="AO82" s="8">
        <f t="shared" si="90"/>
        <v>14092.448538080027</v>
      </c>
      <c r="AP82" s="8">
        <f t="shared" si="90"/>
        <v>10154.847747091411</v>
      </c>
      <c r="AQ82" s="8">
        <f t="shared" si="90"/>
        <v>7464.3305405811989</v>
      </c>
      <c r="AR82" s="8">
        <f t="shared" si="90"/>
        <v>5584.0795799226726</v>
      </c>
      <c r="AS82" s="8">
        <f t="shared" si="90"/>
        <v>4243.5437382856253</v>
      </c>
      <c r="AT82" s="8">
        <f t="shared" si="90"/>
        <v>3270.5629778683456</v>
      </c>
      <c r="AW82" s="26">
        <v>120</v>
      </c>
      <c r="AX82" s="8">
        <f t="shared" si="59"/>
        <v>0.99963221826670334</v>
      </c>
      <c r="AY82" s="8">
        <f t="shared" si="60"/>
        <v>0.99939230103331567</v>
      </c>
      <c r="AZ82" s="8">
        <f t="shared" si="61"/>
        <v>0.9970189576945222</v>
      </c>
      <c r="BA82" s="8">
        <f t="shared" si="62"/>
        <v>0.98721826536546864</v>
      </c>
      <c r="BB82" s="8">
        <f t="shared" si="63"/>
        <v>0.96084505132884446</v>
      </c>
      <c r="BC82" s="8">
        <f t="shared" si="64"/>
        <v>0.90411269646054626</v>
      </c>
      <c r="BD82" s="8">
        <f t="shared" si="65"/>
        <v>0.80212863200862528</v>
      </c>
      <c r="BE82" s="8">
        <f t="shared" si="66"/>
        <v>0.64769194822731635</v>
      </c>
      <c r="BF82" s="8">
        <f t="shared" si="67"/>
        <v>0.45390701072086059</v>
      </c>
      <c r="BG82" s="8">
        <f t="shared" si="68"/>
        <v>0.25960534084574383</v>
      </c>
      <c r="BH82" s="8">
        <f t="shared" si="69"/>
        <v>0.11214040315302407</v>
      </c>
      <c r="BI82" s="8">
        <f t="shared" si="70"/>
        <v>3.3259296191633439E-2</v>
      </c>
      <c r="BJ82" s="8">
        <f t="shared" si="71"/>
        <v>6.0363749625254384E-3</v>
      </c>
      <c r="BK82" s="8">
        <f t="shared" si="72"/>
        <v>5.8469079167107268E-4</v>
      </c>
      <c r="BL82" s="8">
        <f t="shared" si="73"/>
        <v>2.5742644213888139E-5</v>
      </c>
      <c r="BM82" s="8">
        <f t="shared" si="74"/>
        <v>4.2766867578522911E-7</v>
      </c>
      <c r="BN82" s="8">
        <f t="shared" si="75"/>
        <v>2.1649144941044198E-9</v>
      </c>
      <c r="BO82" s="8">
        <f t="shared" si="76"/>
        <v>2.6178326461070512E-12</v>
      </c>
      <c r="BP82" s="8">
        <f t="shared" si="77"/>
        <v>5.7433951395383078E-16</v>
      </c>
      <c r="BQ82" s="8">
        <f t="shared" si="78"/>
        <v>1.6790979226150113E-20</v>
      </c>
      <c r="BT82" s="26">
        <v>120</v>
      </c>
      <c r="BU82" s="8" t="str">
        <v>Si</v>
      </c>
      <c r="BV82" s="8" t="str">
        <v>Si</v>
      </c>
      <c r="BW82" s="8" t="str">
        <v>GaN</v>
      </c>
      <c r="BX82" s="8" t="str">
        <v>GaN</v>
      </c>
      <c r="BY82" s="8" t="str">
        <v>GaN</v>
      </c>
      <c r="BZ82" s="8" t="str">
        <v>GaN</v>
      </c>
      <c r="CA82" s="8" t="str">
        <v>GaN</v>
      </c>
      <c r="CB82" s="8" t="str">
        <v>GaN</v>
      </c>
      <c r="CC82" s="8" t="str">
        <v>GaN</v>
      </c>
      <c r="CD82" s="8" t="str">
        <v>GaN</v>
      </c>
      <c r="CE82" s="8" t="str">
        <v>GaN</v>
      </c>
      <c r="CF82" s="8" t="str">
        <v>GaN</v>
      </c>
      <c r="CG82" s="8" t="str">
        <v>GaN</v>
      </c>
      <c r="CH82" s="8" t="str">
        <v>GaN</v>
      </c>
      <c r="CI82" s="8" t="str">
        <v>GaN</v>
      </c>
      <c r="CJ82" s="8" t="str">
        <v>GaN</v>
      </c>
      <c r="CK82" s="8" t="str">
        <v>GaN</v>
      </c>
      <c r="CL82" s="8" t="str">
        <v>GaN</v>
      </c>
      <c r="CM82" s="8" t="str">
        <v>GaN</v>
      </c>
      <c r="CN82" s="8" t="str">
        <v>GaN</v>
      </c>
    </row>
    <row r="83" spans="6:92" x14ac:dyDescent="0.3">
      <c r="F83">
        <v>50</v>
      </c>
      <c r="G83">
        <f t="shared" si="54"/>
        <v>323</v>
      </c>
      <c r="H83">
        <f t="shared" si="50"/>
        <v>35.928690172892452</v>
      </c>
      <c r="J83">
        <v>0.1</v>
      </c>
      <c r="K83">
        <f t="shared" si="89"/>
        <v>11681885767.518145</v>
      </c>
      <c r="L83">
        <f t="shared" si="51"/>
        <v>0.99998725213944428</v>
      </c>
      <c r="N83">
        <v>1</v>
      </c>
      <c r="O83">
        <f t="shared" si="56"/>
        <v>132301966219.61664</v>
      </c>
      <c r="P83">
        <f t="shared" si="52"/>
        <v>0.99999887439377932</v>
      </c>
      <c r="R83">
        <f t="shared" si="57"/>
        <v>11681885767.518145</v>
      </c>
      <c r="S83">
        <f t="shared" si="53"/>
        <v>0.99998725213944428</v>
      </c>
      <c r="Z83" s="26">
        <v>130</v>
      </c>
      <c r="AA83" s="8">
        <f t="shared" ref="AA83:AT83" si="91">MIN(AA22,AA49)</f>
        <v>275479316.28952724</v>
      </c>
      <c r="AB83" s="8">
        <f t="shared" si="91"/>
        <v>166701126.73390722</v>
      </c>
      <c r="AC83" s="8">
        <f t="shared" si="91"/>
        <v>38310082.046509065</v>
      </c>
      <c r="AD83" s="8">
        <f t="shared" si="91"/>
        <v>8890969.9178139865</v>
      </c>
      <c r="AE83" s="8">
        <f t="shared" si="91"/>
        <v>2863506.9451309452</v>
      </c>
      <c r="AF83" s="8">
        <f t="shared" si="91"/>
        <v>1134653.8265557443</v>
      </c>
      <c r="AG83" s="8">
        <f t="shared" si="91"/>
        <v>518737.62871990097</v>
      </c>
      <c r="AH83" s="8">
        <f t="shared" si="91"/>
        <v>263329.4553322139</v>
      </c>
      <c r="AI83" s="8">
        <f t="shared" si="91"/>
        <v>144803.0212697126</v>
      </c>
      <c r="AJ83" s="8">
        <f t="shared" si="91"/>
        <v>84810.288547994263</v>
      </c>
      <c r="AK83" s="8">
        <f t="shared" si="91"/>
        <v>52273.468908689501</v>
      </c>
      <c r="AL83" s="8">
        <f t="shared" si="91"/>
        <v>33605.756953342454</v>
      </c>
      <c r="AM83" s="8">
        <f t="shared" si="91"/>
        <v>22382.704637906343</v>
      </c>
      <c r="AN83" s="8">
        <f t="shared" si="91"/>
        <v>15363.77903578839</v>
      </c>
      <c r="AO83" s="8">
        <f t="shared" si="91"/>
        <v>10823.376900586651</v>
      </c>
      <c r="AP83" s="8">
        <f t="shared" si="91"/>
        <v>7799.1943158671138</v>
      </c>
      <c r="AQ83" s="8">
        <f t="shared" si="91"/>
        <v>5732.8052348720403</v>
      </c>
      <c r="AR83" s="8">
        <f t="shared" si="91"/>
        <v>4288.7222737097818</v>
      </c>
      <c r="AS83" s="8">
        <f t="shared" si="91"/>
        <v>3259.1549402845822</v>
      </c>
      <c r="AT83" s="8">
        <f t="shared" si="91"/>
        <v>2511.8797269985898</v>
      </c>
      <c r="AW83" s="26">
        <v>130</v>
      </c>
      <c r="AX83" s="8">
        <f t="shared" si="59"/>
        <v>0.99945956103966471</v>
      </c>
      <c r="AY83" s="8">
        <f t="shared" si="60"/>
        <v>0.999107063611545</v>
      </c>
      <c r="AZ83" s="8">
        <f t="shared" si="61"/>
        <v>0.99612031810456814</v>
      </c>
      <c r="BA83" s="8">
        <f t="shared" si="62"/>
        <v>0.98338991562352307</v>
      </c>
      <c r="BB83" s="8">
        <f t="shared" si="63"/>
        <v>0.94932301911097927</v>
      </c>
      <c r="BC83" s="8">
        <f t="shared" si="64"/>
        <v>0.87700105939271555</v>
      </c>
      <c r="BD83" s="8">
        <f t="shared" si="65"/>
        <v>0.75045053071238266</v>
      </c>
      <c r="BE83" s="8">
        <f t="shared" si="66"/>
        <v>0.56806052057514056</v>
      </c>
      <c r="BF83" s="8">
        <f t="shared" si="67"/>
        <v>0.35756733664838047</v>
      </c>
      <c r="BG83" s="8">
        <f t="shared" si="68"/>
        <v>0.17274840753431384</v>
      </c>
      <c r="BH83" s="8">
        <f t="shared" si="69"/>
        <v>5.7910073492610736E-2</v>
      </c>
      <c r="BI83" s="8">
        <f t="shared" si="70"/>
        <v>1.1898016264810959E-2</v>
      </c>
      <c r="BJ83" s="8">
        <f t="shared" si="71"/>
        <v>1.2896925349383896E-3</v>
      </c>
      <c r="BK83" s="8">
        <f t="shared" si="72"/>
        <v>6.1718444116396851E-5</v>
      </c>
      <c r="BL83" s="8">
        <f t="shared" si="73"/>
        <v>1.0580246575172179E-6</v>
      </c>
      <c r="BM83" s="8">
        <f t="shared" si="74"/>
        <v>5.0987012083952799E-9</v>
      </c>
      <c r="BN83" s="8">
        <f t="shared" si="75"/>
        <v>5.2289462820730188E-12</v>
      </c>
      <c r="BO83" s="8">
        <f t="shared" si="76"/>
        <v>8.3122700978682094E-16</v>
      </c>
      <c r="BP83" s="8">
        <f t="shared" si="77"/>
        <v>1.4317188781771656E-20</v>
      </c>
      <c r="BQ83" s="8">
        <f t="shared" si="78"/>
        <v>1.7877079727138328E-26</v>
      </c>
      <c r="BT83" s="26">
        <v>130</v>
      </c>
      <c r="BU83" s="8" t="str">
        <v>Si</v>
      </c>
      <c r="BV83" s="8" t="str">
        <v>Si</v>
      </c>
      <c r="BW83" s="8" t="str">
        <v>GaN</v>
      </c>
      <c r="BX83" s="8" t="str">
        <v>GaN</v>
      </c>
      <c r="BY83" s="8" t="str">
        <v>GaN</v>
      </c>
      <c r="BZ83" s="8" t="str">
        <v>GaN</v>
      </c>
      <c r="CA83" s="8" t="str">
        <v>GaN</v>
      </c>
      <c r="CB83" s="8" t="str">
        <v>GaN</v>
      </c>
      <c r="CC83" s="8" t="str">
        <v>GaN</v>
      </c>
      <c r="CD83" s="8" t="str">
        <v>GaN</v>
      </c>
      <c r="CE83" s="8" t="str">
        <v>GaN</v>
      </c>
      <c r="CF83" s="8" t="str">
        <v>GaN</v>
      </c>
      <c r="CG83" s="8" t="str">
        <v>GaN</v>
      </c>
      <c r="CH83" s="8" t="str">
        <v>GaN</v>
      </c>
      <c r="CI83" s="8" t="str">
        <v>GaN</v>
      </c>
      <c r="CJ83" s="8" t="str">
        <v>GaN</v>
      </c>
      <c r="CK83" s="8" t="str">
        <v>GaN</v>
      </c>
      <c r="CL83" s="8" t="str">
        <v>GaN</v>
      </c>
      <c r="CM83" s="8" t="str">
        <v>GaN</v>
      </c>
      <c r="CN83" s="8" t="str">
        <v>GaN</v>
      </c>
    </row>
    <row r="84" spans="6:92" x14ac:dyDescent="0.3">
      <c r="F84">
        <v>50</v>
      </c>
      <c r="G84">
        <f t="shared" si="54"/>
        <v>323</v>
      </c>
      <c r="H84">
        <f t="shared" si="50"/>
        <v>35.928690172892452</v>
      </c>
      <c r="J84">
        <v>0.2</v>
      </c>
      <c r="K84">
        <f t="shared" si="89"/>
        <v>7069073446.4266634</v>
      </c>
      <c r="L84">
        <f t="shared" si="51"/>
        <v>0.99997893381183056</v>
      </c>
      <c r="N84">
        <v>2</v>
      </c>
      <c r="O84">
        <f t="shared" si="56"/>
        <v>3918470653.4873104</v>
      </c>
      <c r="P84">
        <f t="shared" si="52"/>
        <v>0.99996199609914671</v>
      </c>
      <c r="R84">
        <f t="shared" si="57"/>
        <v>3918470653.4873104</v>
      </c>
      <c r="S84">
        <f t="shared" si="53"/>
        <v>0.99996199609914671</v>
      </c>
      <c r="Z84" s="26">
        <v>140</v>
      </c>
      <c r="AA84" s="8">
        <f t="shared" ref="AA84:AT84" si="92">MIN(AA23,AA50)</f>
        <v>190981613.16681489</v>
      </c>
      <c r="AB84" s="8">
        <f t="shared" si="92"/>
        <v>115568931.01515797</v>
      </c>
      <c r="AC84" s="8">
        <f t="shared" si="92"/>
        <v>29801641.765069313</v>
      </c>
      <c r="AD84" s="8">
        <f t="shared" si="92"/>
        <v>6916338.6315129194</v>
      </c>
      <c r="AE84" s="8">
        <f t="shared" si="92"/>
        <v>2227539.1649378263</v>
      </c>
      <c r="AF84" s="8">
        <f t="shared" si="92"/>
        <v>882653.99237015389</v>
      </c>
      <c r="AG84" s="8">
        <f t="shared" si="92"/>
        <v>403529.10135781643</v>
      </c>
      <c r="AH84" s="8">
        <f t="shared" si="92"/>
        <v>204845.5569600265</v>
      </c>
      <c r="AI84" s="8">
        <f t="shared" si="92"/>
        <v>112643.13558871423</v>
      </c>
      <c r="AJ84" s="8">
        <f t="shared" si="92"/>
        <v>65974.430287856769</v>
      </c>
      <c r="AK84" s="8">
        <f t="shared" si="92"/>
        <v>40663.8438503738</v>
      </c>
      <c r="AL84" s="8">
        <f t="shared" si="92"/>
        <v>26142.119162043389</v>
      </c>
      <c r="AM84" s="8">
        <f t="shared" si="92"/>
        <v>17411.639696893399</v>
      </c>
      <c r="AN84" s="8">
        <f t="shared" si="92"/>
        <v>11951.575525899189</v>
      </c>
      <c r="AO84" s="8">
        <f t="shared" si="92"/>
        <v>8419.5695714779031</v>
      </c>
      <c r="AP84" s="8">
        <f t="shared" si="92"/>
        <v>6067.0398663063224</v>
      </c>
      <c r="AQ84" s="8">
        <f t="shared" si="92"/>
        <v>4459.5834514569697</v>
      </c>
      <c r="AR84" s="8">
        <f t="shared" si="92"/>
        <v>3336.2226861275803</v>
      </c>
      <c r="AS84" s="8">
        <f t="shared" si="92"/>
        <v>2535.3161047606691</v>
      </c>
      <c r="AT84" s="8">
        <f t="shared" si="92"/>
        <v>1954.0062506280483</v>
      </c>
      <c r="AW84" s="26">
        <v>140</v>
      </c>
      <c r="AX84" s="8">
        <f t="shared" si="59"/>
        <v>0.99922054300609797</v>
      </c>
      <c r="AY84" s="8">
        <f t="shared" si="60"/>
        <v>0.99871224824782545</v>
      </c>
      <c r="AZ84" s="8">
        <f t="shared" si="61"/>
        <v>0.99501542429928347</v>
      </c>
      <c r="BA84" s="8">
        <f t="shared" si="62"/>
        <v>0.97869852702372784</v>
      </c>
      <c r="BB84" s="8">
        <f t="shared" si="63"/>
        <v>0.93533170921390973</v>
      </c>
      <c r="BC84" s="8">
        <f t="shared" si="64"/>
        <v>0.84474672124332695</v>
      </c>
      <c r="BD84" s="8">
        <f t="shared" si="65"/>
        <v>0.69139497757559498</v>
      </c>
      <c r="BE84" s="8">
        <f t="shared" si="66"/>
        <v>0.48336330580721865</v>
      </c>
      <c r="BF84" s="8">
        <f t="shared" si="67"/>
        <v>0.26658789805768085</v>
      </c>
      <c r="BG84" s="8">
        <f t="shared" si="68"/>
        <v>0.10463908502974149</v>
      </c>
      <c r="BH84" s="8">
        <f t="shared" si="69"/>
        <v>2.5675413432186159E-2</v>
      </c>
      <c r="BI84" s="8">
        <f t="shared" si="70"/>
        <v>3.3575147065528937E-3</v>
      </c>
      <c r="BJ84" s="8">
        <f t="shared" si="71"/>
        <v>1.9298477774078691E-4</v>
      </c>
      <c r="BK84" s="8">
        <f t="shared" si="72"/>
        <v>3.877647575744211E-6</v>
      </c>
      <c r="BL84" s="8">
        <f t="shared" si="73"/>
        <v>2.0819725011371906E-8</v>
      </c>
      <c r="BM84" s="8">
        <f t="shared" si="74"/>
        <v>2.1873554170556504E-11</v>
      </c>
      <c r="BN84" s="8">
        <f t="shared" si="75"/>
        <v>3.1440854458505654E-15</v>
      </c>
      <c r="BO84" s="8">
        <f t="shared" si="76"/>
        <v>4.1139915578092515E-20</v>
      </c>
      <c r="BP84" s="8">
        <f t="shared" si="77"/>
        <v>3.0924842126885427E-26</v>
      </c>
      <c r="BQ84" s="8">
        <f t="shared" si="78"/>
        <v>7.9664608504165687E-34</v>
      </c>
      <c r="BT84" s="26">
        <v>140</v>
      </c>
      <c r="BU84" s="8" t="str">
        <v>Si</v>
      </c>
      <c r="BV84" s="8" t="str">
        <v>Si</v>
      </c>
      <c r="BW84" s="8" t="str">
        <v>GaN</v>
      </c>
      <c r="BX84" s="8" t="str">
        <v>GaN</v>
      </c>
      <c r="BY84" s="8" t="str">
        <v>GaN</v>
      </c>
      <c r="BZ84" s="8" t="str">
        <v>GaN</v>
      </c>
      <c r="CA84" s="8" t="str">
        <v>GaN</v>
      </c>
      <c r="CB84" s="8" t="str">
        <v>GaN</v>
      </c>
      <c r="CC84" s="8" t="str">
        <v>GaN</v>
      </c>
      <c r="CD84" s="8" t="str">
        <v>GaN</v>
      </c>
      <c r="CE84" s="8" t="str">
        <v>GaN</v>
      </c>
      <c r="CF84" s="8" t="str">
        <v>GaN</v>
      </c>
      <c r="CG84" s="8" t="str">
        <v>GaN</v>
      </c>
      <c r="CH84" s="8" t="str">
        <v>GaN</v>
      </c>
      <c r="CI84" s="8" t="str">
        <v>GaN</v>
      </c>
      <c r="CJ84" s="8" t="str">
        <v>GaN</v>
      </c>
      <c r="CK84" s="8" t="str">
        <v>GaN</v>
      </c>
      <c r="CL84" s="8" t="str">
        <v>GaN</v>
      </c>
      <c r="CM84" s="8" t="str">
        <v>GaN</v>
      </c>
      <c r="CN84" s="8" t="str">
        <v>GaN</v>
      </c>
    </row>
    <row r="85" spans="6:92" x14ac:dyDescent="0.3">
      <c r="F85">
        <v>50</v>
      </c>
      <c r="G85">
        <f t="shared" si="54"/>
        <v>323</v>
      </c>
      <c r="H85">
        <f t="shared" si="50"/>
        <v>35.928690172892452</v>
      </c>
      <c r="J85">
        <v>0.3</v>
      </c>
      <c r="K85">
        <f t="shared" ref="K85:K104" si="93">$C$7*EXP($C$5*H85)*EXP(-$C$6*J85)</f>
        <v>4277716833.1779733</v>
      </c>
      <c r="L85">
        <f t="shared" si="51"/>
        <v>0.99996518764245879</v>
      </c>
      <c r="N85">
        <v>3</v>
      </c>
      <c r="O85">
        <f t="shared" si="56"/>
        <v>500070044.36237323</v>
      </c>
      <c r="P85">
        <f t="shared" si="52"/>
        <v>0.99970224605568858</v>
      </c>
      <c r="R85">
        <f t="shared" si="57"/>
        <v>500070044.36237323</v>
      </c>
      <c r="S85">
        <f t="shared" si="53"/>
        <v>0.99970224605568858</v>
      </c>
      <c r="Z85" s="26">
        <v>150</v>
      </c>
      <c r="AA85" s="8">
        <f t="shared" ref="AA85:AT85" si="94">MIN(AA24,AA51)</f>
        <v>134715155.22654319</v>
      </c>
      <c r="AB85" s="8">
        <f t="shared" si="94"/>
        <v>81520342.314177945</v>
      </c>
      <c r="AC85" s="8">
        <f t="shared" si="94"/>
        <v>23459805.57125752</v>
      </c>
      <c r="AD85" s="8">
        <f t="shared" si="94"/>
        <v>5444530.9033427685</v>
      </c>
      <c r="AE85" s="8">
        <f t="shared" si="94"/>
        <v>1753515.330590083</v>
      </c>
      <c r="AF85" s="8">
        <f t="shared" si="94"/>
        <v>694823.8359125806</v>
      </c>
      <c r="AG85" s="8">
        <f t="shared" si="94"/>
        <v>317657.47453868919</v>
      </c>
      <c r="AH85" s="8">
        <f t="shared" si="94"/>
        <v>161254.10057277099</v>
      </c>
      <c r="AI85" s="8">
        <f t="shared" si="94"/>
        <v>88672.499343490039</v>
      </c>
      <c r="AJ85" s="8">
        <f t="shared" si="94"/>
        <v>51934.967859446158</v>
      </c>
      <c r="AK85" s="8">
        <f t="shared" si="94"/>
        <v>32010.513985437352</v>
      </c>
      <c r="AL85" s="8">
        <f t="shared" si="94"/>
        <v>20579.035128226504</v>
      </c>
      <c r="AM85" s="8">
        <f t="shared" si="94"/>
        <v>13706.41541113627</v>
      </c>
      <c r="AN85" s="8">
        <f t="shared" si="94"/>
        <v>9408.2614749242384</v>
      </c>
      <c r="AO85" s="8">
        <f t="shared" si="94"/>
        <v>6627.8719373126514</v>
      </c>
      <c r="AP85" s="8">
        <f t="shared" si="94"/>
        <v>4775.9642498435187</v>
      </c>
      <c r="AQ85" s="8">
        <f t="shared" si="94"/>
        <v>3510.5770858102496</v>
      </c>
      <c r="AR85" s="8">
        <f t="shared" si="94"/>
        <v>2626.269256437708</v>
      </c>
      <c r="AS85" s="8">
        <f t="shared" si="94"/>
        <v>1995.7968540202307</v>
      </c>
      <c r="AT85" s="8">
        <f t="shared" si="94"/>
        <v>1538.1906502374632</v>
      </c>
      <c r="AW85" s="26">
        <v>150</v>
      </c>
      <c r="AX85" s="8">
        <f t="shared" si="59"/>
        <v>0.99889516722343186</v>
      </c>
      <c r="AY85" s="8">
        <f t="shared" si="60"/>
        <v>0.99817488425242429</v>
      </c>
      <c r="AZ85" s="8">
        <f t="shared" si="61"/>
        <v>0.99367222652156628</v>
      </c>
      <c r="BA85" s="8">
        <f t="shared" si="62"/>
        <v>0.97301846586046103</v>
      </c>
      <c r="BB85" s="8">
        <f t="shared" si="63"/>
        <v>0.91857975548248427</v>
      </c>
      <c r="BC85" s="8">
        <f t="shared" si="64"/>
        <v>0.80708385409461536</v>
      </c>
      <c r="BD85" s="8">
        <f t="shared" si="65"/>
        <v>0.6257484348292196</v>
      </c>
      <c r="BE85" s="8">
        <f t="shared" si="66"/>
        <v>0.39712213573913635</v>
      </c>
      <c r="BF85" s="8">
        <f t="shared" si="67"/>
        <v>0.18647867394679885</v>
      </c>
      <c r="BG85" s="8">
        <f t="shared" si="68"/>
        <v>5.6844704233968611E-2</v>
      </c>
      <c r="BH85" s="8">
        <f t="shared" si="69"/>
        <v>9.5403848219506523E-3</v>
      </c>
      <c r="BI85" s="8">
        <f t="shared" si="70"/>
        <v>7.1983331564525832E-4</v>
      </c>
      <c r="BJ85" s="8">
        <f t="shared" si="71"/>
        <v>1.9115994649021125E-5</v>
      </c>
      <c r="BK85" s="8">
        <f t="shared" si="72"/>
        <v>1.3356979190053126E-7</v>
      </c>
      <c r="BL85" s="8">
        <f t="shared" si="73"/>
        <v>1.7456038934834243E-10</v>
      </c>
      <c r="BM85" s="8">
        <f t="shared" si="74"/>
        <v>2.8721284547139685E-14</v>
      </c>
      <c r="BN85" s="8">
        <f t="shared" si="75"/>
        <v>3.7762851228195447E-19</v>
      </c>
      <c r="BO85" s="8">
        <f t="shared" si="76"/>
        <v>2.3646183429960336E-25</v>
      </c>
      <c r="BP85" s="8">
        <f t="shared" si="77"/>
        <v>3.9294339824546511E-33</v>
      </c>
      <c r="BQ85" s="8">
        <f t="shared" si="78"/>
        <v>8.9899929318578334E-43</v>
      </c>
      <c r="BT85" s="26">
        <v>150</v>
      </c>
      <c r="BU85" s="8" t="str">
        <v>Si</v>
      </c>
      <c r="BV85" s="8" t="str">
        <v>Si</v>
      </c>
      <c r="BW85" s="8" t="str">
        <v>GaN</v>
      </c>
      <c r="BX85" s="8" t="str">
        <v>GaN</v>
      </c>
      <c r="BY85" s="8" t="str">
        <v>GaN</v>
      </c>
      <c r="BZ85" s="8" t="str">
        <v>GaN</v>
      </c>
      <c r="CA85" s="8" t="str">
        <v>GaN</v>
      </c>
      <c r="CB85" s="8" t="str">
        <v>GaN</v>
      </c>
      <c r="CC85" s="8" t="str">
        <v>GaN</v>
      </c>
      <c r="CD85" s="8" t="str">
        <v>GaN</v>
      </c>
      <c r="CE85" s="8" t="str">
        <v>GaN</v>
      </c>
      <c r="CF85" s="8" t="str">
        <v>GaN</v>
      </c>
      <c r="CG85" s="8" t="str">
        <v>GaN</v>
      </c>
      <c r="CH85" s="8" t="str">
        <v>GaN</v>
      </c>
      <c r="CI85" s="8" t="str">
        <v>GaN</v>
      </c>
      <c r="CJ85" s="8" t="str">
        <v>GaN</v>
      </c>
      <c r="CK85" s="8" t="str">
        <v>GaN</v>
      </c>
      <c r="CL85" s="8" t="str">
        <v>GaN</v>
      </c>
      <c r="CM85" s="8" t="str">
        <v>GaN</v>
      </c>
      <c r="CN85" s="8" t="str">
        <v>GaN</v>
      </c>
    </row>
    <row r="86" spans="6:92" x14ac:dyDescent="0.3">
      <c r="F86">
        <v>50</v>
      </c>
      <c r="G86">
        <f t="shared" si="54"/>
        <v>323</v>
      </c>
      <c r="H86">
        <f t="shared" si="50"/>
        <v>35.928690172892452</v>
      </c>
      <c r="J86">
        <v>0.4</v>
      </c>
      <c r="K86">
        <f t="shared" si="93"/>
        <v>2588579881.5832157</v>
      </c>
      <c r="L86">
        <f t="shared" si="51"/>
        <v>0.99994247204133568</v>
      </c>
      <c r="N86">
        <v>4</v>
      </c>
      <c r="O86">
        <f t="shared" si="56"/>
        <v>116055813.08408891</v>
      </c>
      <c r="P86">
        <f t="shared" si="52"/>
        <v>0.99871764721097567</v>
      </c>
      <c r="R86">
        <f t="shared" si="57"/>
        <v>116055813.08408891</v>
      </c>
      <c r="S86">
        <f t="shared" si="53"/>
        <v>0.99871764721097567</v>
      </c>
      <c r="Z86" s="26">
        <v>160</v>
      </c>
      <c r="AA86" s="8">
        <f t="shared" ref="AA86:AT86" si="95">MIN(AA25,AA52)</f>
        <v>96570062.787039742</v>
      </c>
      <c r="AB86" s="8">
        <f t="shared" si="95"/>
        <v>58437557.099366494</v>
      </c>
      <c r="AC86" s="8">
        <f t="shared" si="95"/>
        <v>18672756.427323945</v>
      </c>
      <c r="AD86" s="8">
        <f t="shared" si="95"/>
        <v>4333556.7769459561</v>
      </c>
      <c r="AE86" s="8">
        <f t="shared" si="95"/>
        <v>1395704.860393347</v>
      </c>
      <c r="AF86" s="8">
        <f t="shared" si="95"/>
        <v>553042.78667127306</v>
      </c>
      <c r="AG86" s="8">
        <f t="shared" si="95"/>
        <v>252838.44025745057</v>
      </c>
      <c r="AH86" s="8">
        <f t="shared" si="95"/>
        <v>128349.68021182745</v>
      </c>
      <c r="AI86" s="8">
        <f t="shared" si="95"/>
        <v>70578.589281730252</v>
      </c>
      <c r="AJ86" s="8">
        <f t="shared" si="95"/>
        <v>41337.469824919484</v>
      </c>
      <c r="AK86" s="8">
        <f t="shared" si="95"/>
        <v>25478.665155513405</v>
      </c>
      <c r="AL86" s="8">
        <f t="shared" si="95"/>
        <v>16379.816503232796</v>
      </c>
      <c r="AM86" s="8">
        <f t="shared" si="95"/>
        <v>10909.577050264859</v>
      </c>
      <c r="AN86" s="8">
        <f t="shared" si="95"/>
        <v>7488.47531545927</v>
      </c>
      <c r="AO86" s="8">
        <f t="shared" si="95"/>
        <v>5275.4332486269132</v>
      </c>
      <c r="AP86" s="8">
        <f t="shared" si="95"/>
        <v>3801.4133097589256</v>
      </c>
      <c r="AQ86" s="8">
        <f t="shared" si="95"/>
        <v>2794.2324860097165</v>
      </c>
      <c r="AR86" s="8">
        <f t="shared" si="95"/>
        <v>2090.3705271160866</v>
      </c>
      <c r="AS86" s="8">
        <f t="shared" si="95"/>
        <v>1588.5480559650493</v>
      </c>
      <c r="AT86" s="8">
        <f t="shared" si="95"/>
        <v>1224.3178769504004</v>
      </c>
      <c r="AW86" s="26">
        <v>160</v>
      </c>
      <c r="AX86" s="8">
        <f t="shared" si="59"/>
        <v>0.99845909559883395</v>
      </c>
      <c r="AY86" s="8">
        <f t="shared" si="60"/>
        <v>0.99745488316942865</v>
      </c>
      <c r="AZ86" s="8">
        <f t="shared" si="61"/>
        <v>0.9920564626549726</v>
      </c>
      <c r="BA86" s="8">
        <f t="shared" si="62"/>
        <v>0.96621936765146121</v>
      </c>
      <c r="BB86" s="8">
        <f t="shared" si="63"/>
        <v>0.89879637142420599</v>
      </c>
      <c r="BC86" s="8">
        <f t="shared" si="64"/>
        <v>0.76393396894213583</v>
      </c>
      <c r="BD86" s="8">
        <f t="shared" si="65"/>
        <v>0.55488593025181709</v>
      </c>
      <c r="BE86" s="8">
        <f t="shared" si="66"/>
        <v>0.31340224318522242</v>
      </c>
      <c r="BF86" s="8">
        <f t="shared" si="67"/>
        <v>0.12123938082887642</v>
      </c>
      <c r="BG86" s="8">
        <f t="shared" si="68"/>
        <v>2.7254334773447252E-2</v>
      </c>
      <c r="BH86" s="8">
        <f t="shared" si="69"/>
        <v>2.8946525595084736E-3</v>
      </c>
      <c r="BI86" s="8">
        <f t="shared" si="70"/>
        <v>1.1259908808715873E-4</v>
      </c>
      <c r="BJ86" s="8">
        <f t="shared" si="71"/>
        <v>1.1795333091938972E-6</v>
      </c>
      <c r="BK86" s="8">
        <f t="shared" si="72"/>
        <v>2.3087532548934364E-9</v>
      </c>
      <c r="BL86" s="8">
        <f t="shared" si="73"/>
        <v>5.4994335804127678E-13</v>
      </c>
      <c r="BM86" s="8">
        <f t="shared" si="74"/>
        <v>9.6951723105960799E-18</v>
      </c>
      <c r="BN86" s="8">
        <f t="shared" si="75"/>
        <v>7.1459694164162342E-24</v>
      </c>
      <c r="BO86" s="8">
        <f t="shared" si="76"/>
        <v>1.149330236159554E-31</v>
      </c>
      <c r="BP86" s="8">
        <f t="shared" si="77"/>
        <v>1.9348024228436238E-41</v>
      </c>
      <c r="BQ86" s="8">
        <f t="shared" si="78"/>
        <v>1.4947101435372479E-53</v>
      </c>
      <c r="BT86" s="26">
        <v>160</v>
      </c>
      <c r="BU86" s="8" t="str">
        <v>Si</v>
      </c>
      <c r="BV86" s="8" t="str">
        <v>Si</v>
      </c>
      <c r="BW86" s="8" t="str">
        <v>GaN</v>
      </c>
      <c r="BX86" s="8" t="str">
        <v>GaN</v>
      </c>
      <c r="BY86" s="8" t="str">
        <v>GaN</v>
      </c>
      <c r="BZ86" s="8" t="str">
        <v>GaN</v>
      </c>
      <c r="CA86" s="8" t="str">
        <v>GaN</v>
      </c>
      <c r="CB86" s="8" t="str">
        <v>GaN</v>
      </c>
      <c r="CC86" s="8" t="str">
        <v>GaN</v>
      </c>
      <c r="CD86" s="8" t="str">
        <v>GaN</v>
      </c>
      <c r="CE86" s="8" t="str">
        <v>GaN</v>
      </c>
      <c r="CF86" s="8" t="str">
        <v>GaN</v>
      </c>
      <c r="CG86" s="8" t="str">
        <v>GaN</v>
      </c>
      <c r="CH86" s="8" t="str">
        <v>GaN</v>
      </c>
      <c r="CI86" s="8" t="str">
        <v>GaN</v>
      </c>
      <c r="CJ86" s="8" t="str">
        <v>GaN</v>
      </c>
      <c r="CK86" s="8" t="str">
        <v>GaN</v>
      </c>
      <c r="CL86" s="8" t="str">
        <v>GaN</v>
      </c>
      <c r="CM86" s="8" t="str">
        <v>GaN</v>
      </c>
      <c r="CN86" s="8" t="str">
        <v>GaN</v>
      </c>
    </row>
    <row r="87" spans="6:92" x14ac:dyDescent="0.3">
      <c r="F87">
        <v>50</v>
      </c>
      <c r="G87">
        <f t="shared" si="54"/>
        <v>323</v>
      </c>
      <c r="H87">
        <f t="shared" si="50"/>
        <v>35.928690172892452</v>
      </c>
      <c r="J87">
        <v>0.5</v>
      </c>
      <c r="K87">
        <f t="shared" si="93"/>
        <v>1566430426.4757283</v>
      </c>
      <c r="L87">
        <f t="shared" si="51"/>
        <v>0.99990493486412102</v>
      </c>
      <c r="N87">
        <v>5</v>
      </c>
      <c r="O87">
        <f t="shared" si="56"/>
        <v>37377994.736351125</v>
      </c>
      <c r="P87">
        <f t="shared" si="52"/>
        <v>0.99602376387744063</v>
      </c>
      <c r="R87">
        <f t="shared" si="57"/>
        <v>37377994.736351125</v>
      </c>
      <c r="S87">
        <f t="shared" si="53"/>
        <v>0.99602376387744063</v>
      </c>
      <c r="Z87" s="26">
        <v>170</v>
      </c>
      <c r="AA87" s="8">
        <f t="shared" ref="AA87:AT87" si="96">MIN(AA26,AA53)</f>
        <v>70274151.7223984</v>
      </c>
      <c r="AB87" s="8">
        <f t="shared" si="96"/>
        <v>42525081.121085659</v>
      </c>
      <c r="AC87" s="8">
        <f t="shared" si="96"/>
        <v>15016448.044248328</v>
      </c>
      <c r="AD87" s="8">
        <f t="shared" si="96"/>
        <v>3485003.965059231</v>
      </c>
      <c r="AE87" s="8">
        <f t="shared" si="96"/>
        <v>1122412.1946202242</v>
      </c>
      <c r="AF87" s="8">
        <f t="shared" si="96"/>
        <v>444751.59865220089</v>
      </c>
      <c r="AG87" s="8">
        <f t="shared" si="96"/>
        <v>203330.20014972231</v>
      </c>
      <c r="AH87" s="8">
        <f t="shared" si="96"/>
        <v>103217.55718810127</v>
      </c>
      <c r="AI87" s="8">
        <f t="shared" si="96"/>
        <v>56758.611033696943</v>
      </c>
      <c r="AJ87" s="8">
        <f t="shared" si="96"/>
        <v>33243.188830881518</v>
      </c>
      <c r="AK87" s="8">
        <f t="shared" si="96"/>
        <v>20489.693261606953</v>
      </c>
      <c r="AL87" s="8">
        <f t="shared" si="96"/>
        <v>13172.488189006326</v>
      </c>
      <c r="AM87" s="8">
        <f t="shared" si="96"/>
        <v>8773.3751359977559</v>
      </c>
      <c r="AN87" s="8">
        <f t="shared" si="96"/>
        <v>6022.1585893275578</v>
      </c>
      <c r="AO87" s="8">
        <f t="shared" si="96"/>
        <v>4242.4518092564895</v>
      </c>
      <c r="AP87" s="8">
        <f t="shared" si="96"/>
        <v>3057.0593946793019</v>
      </c>
      <c r="AQ87" s="8">
        <f t="shared" si="96"/>
        <v>2247.0944294178375</v>
      </c>
      <c r="AR87" s="8">
        <f t="shared" si="96"/>
        <v>1681.0555279205398</v>
      </c>
      <c r="AS87" s="8">
        <f t="shared" si="96"/>
        <v>1277.494805924028</v>
      </c>
      <c r="AT87" s="8">
        <f t="shared" si="96"/>
        <v>984.58445920535746</v>
      </c>
      <c r="AW87" s="26">
        <v>170</v>
      </c>
      <c r="AX87" s="8">
        <f t="shared" si="59"/>
        <v>0.99788311466732316</v>
      </c>
      <c r="AY87" s="8">
        <f t="shared" si="60"/>
        <v>0.99650419126223888</v>
      </c>
      <c r="AZ87" s="8">
        <f t="shared" si="61"/>
        <v>0.99013188702219879</v>
      </c>
      <c r="BA87" s="8">
        <f t="shared" si="62"/>
        <v>0.95816847174684006</v>
      </c>
      <c r="BB87" s="8">
        <f t="shared" si="63"/>
        <v>0.87574657314166759</v>
      </c>
      <c r="BC87" s="8">
        <f t="shared" si="64"/>
        <v>0.71545355548506973</v>
      </c>
      <c r="BD87" s="8">
        <f t="shared" si="65"/>
        <v>0.48075152214959754</v>
      </c>
      <c r="BE87" s="8">
        <f t="shared" si="66"/>
        <v>0.23627053418194963</v>
      </c>
      <c r="BF87" s="8">
        <f t="shared" si="67"/>
        <v>7.2530881782667353E-2</v>
      </c>
      <c r="BG87" s="8">
        <f t="shared" si="68"/>
        <v>1.1336647611844768E-2</v>
      </c>
      <c r="BH87" s="8">
        <f t="shared" si="69"/>
        <v>6.9747465485638007E-4</v>
      </c>
      <c r="BI87" s="8">
        <f t="shared" si="70"/>
        <v>1.2306522211741649E-5</v>
      </c>
      <c r="BJ87" s="8">
        <f t="shared" si="71"/>
        <v>4.2486338632915025E-8</v>
      </c>
      <c r="BK87" s="8">
        <f t="shared" si="72"/>
        <v>1.8216841803717038E-11</v>
      </c>
      <c r="BL87" s="8">
        <f t="shared" si="73"/>
        <v>5.6917522354109137E-16</v>
      </c>
      <c r="BM87" s="8">
        <f t="shared" si="74"/>
        <v>6.9823992926697718E-22</v>
      </c>
      <c r="BN87" s="8">
        <f t="shared" si="75"/>
        <v>1.6532108850988521E-29</v>
      </c>
      <c r="BO87" s="8">
        <f t="shared" si="76"/>
        <v>3.3656461751811777E-39</v>
      </c>
      <c r="BP87" s="8">
        <f t="shared" si="77"/>
        <v>2.3630123195765901E-51</v>
      </c>
      <c r="BQ87" s="8">
        <f t="shared" si="78"/>
        <v>2.0523603741930341E-66</v>
      </c>
      <c r="BT87" s="26">
        <v>170</v>
      </c>
      <c r="BU87" s="8" t="str">
        <v>Si</v>
      </c>
      <c r="BV87" s="8" t="str">
        <v>Si</v>
      </c>
      <c r="BW87" s="8" t="str">
        <v>GaN</v>
      </c>
      <c r="BX87" s="8" t="str">
        <v>GaN</v>
      </c>
      <c r="BY87" s="8" t="str">
        <v>GaN</v>
      </c>
      <c r="BZ87" s="8" t="str">
        <v>GaN</v>
      </c>
      <c r="CA87" s="8" t="str">
        <v>GaN</v>
      </c>
      <c r="CB87" s="8" t="str">
        <v>GaN</v>
      </c>
      <c r="CC87" s="8" t="str">
        <v>GaN</v>
      </c>
      <c r="CD87" s="8" t="str">
        <v>GaN</v>
      </c>
      <c r="CE87" s="8" t="str">
        <v>GaN</v>
      </c>
      <c r="CF87" s="8" t="str">
        <v>GaN</v>
      </c>
      <c r="CG87" s="8" t="str">
        <v>GaN</v>
      </c>
      <c r="CH87" s="8" t="str">
        <v>GaN</v>
      </c>
      <c r="CI87" s="8" t="str">
        <v>GaN</v>
      </c>
      <c r="CJ87" s="8" t="str">
        <v>GaN</v>
      </c>
      <c r="CK87" s="8" t="str">
        <v>GaN</v>
      </c>
      <c r="CL87" s="8" t="str">
        <v>GaN</v>
      </c>
      <c r="CM87" s="8" t="str">
        <v>GaN</v>
      </c>
      <c r="CN87" s="8" t="str">
        <v>GaN</v>
      </c>
    </row>
    <row r="88" spans="6:92" x14ac:dyDescent="0.3">
      <c r="F88">
        <v>50</v>
      </c>
      <c r="G88">
        <f t="shared" si="54"/>
        <v>323</v>
      </c>
      <c r="H88">
        <f t="shared" si="50"/>
        <v>35.928690172892452</v>
      </c>
      <c r="J88">
        <v>0.6</v>
      </c>
      <c r="K88">
        <f t="shared" si="93"/>
        <v>947895909.43131661</v>
      </c>
      <c r="L88">
        <f t="shared" si="51"/>
        <v>0.99984290648263296</v>
      </c>
      <c r="N88">
        <v>6</v>
      </c>
      <c r="O88">
        <f t="shared" si="56"/>
        <v>14810889.433565477</v>
      </c>
      <c r="P88">
        <f t="shared" si="52"/>
        <v>0.98999561600327379</v>
      </c>
      <c r="R88">
        <f t="shared" si="57"/>
        <v>14810889.433565477</v>
      </c>
      <c r="S88">
        <f t="shared" si="53"/>
        <v>0.98999561600327379</v>
      </c>
      <c r="Z88" s="26">
        <v>180</v>
      </c>
      <c r="AA88" s="8">
        <f t="shared" ref="AA88:AT88" si="97">MIN(AA27,AA54)</f>
        <v>51861311.597319484</v>
      </c>
      <c r="AB88" s="8">
        <f t="shared" si="97"/>
        <v>31382897.248391613</v>
      </c>
      <c r="AC88" s="8">
        <f t="shared" si="97"/>
        <v>12192827.328618422</v>
      </c>
      <c r="AD88" s="8">
        <f t="shared" si="97"/>
        <v>2829700.5696891993</v>
      </c>
      <c r="AE88" s="8">
        <f t="shared" si="97"/>
        <v>911359.20027252298</v>
      </c>
      <c r="AF88" s="8">
        <f t="shared" si="97"/>
        <v>361122.64568253519</v>
      </c>
      <c r="AG88" s="8">
        <f t="shared" si="97"/>
        <v>165096.96659381254</v>
      </c>
      <c r="AH88" s="8">
        <f t="shared" si="97"/>
        <v>83809.023836256543</v>
      </c>
      <c r="AI88" s="8">
        <f t="shared" si="97"/>
        <v>46085.994617825403</v>
      </c>
      <c r="AJ88" s="8">
        <f t="shared" si="97"/>
        <v>26992.299382199493</v>
      </c>
      <c r="AK88" s="8">
        <f t="shared" si="97"/>
        <v>16636.909821748428</v>
      </c>
      <c r="AL88" s="8">
        <f t="shared" si="97"/>
        <v>10695.596821802164</v>
      </c>
      <c r="AM88" s="8">
        <f t="shared" si="97"/>
        <v>7123.6718435148077</v>
      </c>
      <c r="AN88" s="8">
        <f t="shared" si="97"/>
        <v>4889.7808329148538</v>
      </c>
      <c r="AO88" s="8">
        <f t="shared" si="97"/>
        <v>3444.7215618384607</v>
      </c>
      <c r="AP88" s="8">
        <f t="shared" si="97"/>
        <v>2482.2246394634203</v>
      </c>
      <c r="AQ88" s="8">
        <f t="shared" si="97"/>
        <v>1824.5615932781327</v>
      </c>
      <c r="AR88" s="8">
        <f t="shared" si="97"/>
        <v>1364.9579262257973</v>
      </c>
      <c r="AS88" s="8">
        <f t="shared" si="97"/>
        <v>1037.2808227312235</v>
      </c>
      <c r="AT88" s="8">
        <f t="shared" si="97"/>
        <v>799.44792977392774</v>
      </c>
      <c r="AW88" s="26">
        <v>180</v>
      </c>
      <c r="AX88" s="8">
        <f t="shared" si="59"/>
        <v>0.99713261412626564</v>
      </c>
      <c r="AY88" s="8">
        <f t="shared" si="60"/>
        <v>0.99526598118067822</v>
      </c>
      <c r="AZ88" s="8">
        <f t="shared" si="61"/>
        <v>0.98786054683417923</v>
      </c>
      <c r="BA88" s="8">
        <f t="shared" si="62"/>
        <v>0.94873337221541798</v>
      </c>
      <c r="BB88" s="8">
        <f t="shared" si="63"/>
        <v>0.84924777946394103</v>
      </c>
      <c r="BC88" s="8">
        <f t="shared" si="64"/>
        <v>0.66207219444675303</v>
      </c>
      <c r="BD88" s="8">
        <f t="shared" si="65"/>
        <v>0.40575110003669879</v>
      </c>
      <c r="BE88" s="8">
        <f t="shared" si="66"/>
        <v>0.16916225026629203</v>
      </c>
      <c r="BF88" s="8">
        <f t="shared" si="67"/>
        <v>3.9504113944718693E-2</v>
      </c>
      <c r="BG88" s="8">
        <f t="shared" si="68"/>
        <v>4.0173649141429279E-3</v>
      </c>
      <c r="BH88" s="8">
        <f t="shared" si="69"/>
        <v>1.2958396154088428E-4</v>
      </c>
      <c r="BI88" s="8">
        <f t="shared" si="70"/>
        <v>8.9764902038762677E-7</v>
      </c>
      <c r="BJ88" s="8">
        <f t="shared" si="71"/>
        <v>8.3386509779961977E-10</v>
      </c>
      <c r="BK88" s="8">
        <f t="shared" si="72"/>
        <v>5.9348311622930642E-14</v>
      </c>
      <c r="BL88" s="8">
        <f t="shared" si="73"/>
        <v>1.6782576946560032E-19</v>
      </c>
      <c r="BM88" s="8">
        <f t="shared" si="74"/>
        <v>8.804187545328587E-27</v>
      </c>
      <c r="BN88" s="8">
        <f t="shared" si="75"/>
        <v>3.5731817747029913E-36</v>
      </c>
      <c r="BO88" s="8">
        <f t="shared" si="76"/>
        <v>4.1446588259680988E-48</v>
      </c>
      <c r="BP88" s="8">
        <f t="shared" si="77"/>
        <v>4.4601484155255518E-63</v>
      </c>
      <c r="BQ88" s="8">
        <f t="shared" si="78"/>
        <v>1.2596626940685817E-81</v>
      </c>
      <c r="BT88" s="26">
        <v>180</v>
      </c>
      <c r="BU88" s="8" t="str">
        <v>Si</v>
      </c>
      <c r="BV88" s="8" t="str">
        <v>Si</v>
      </c>
      <c r="BW88" s="8" t="str">
        <v>GaN</v>
      </c>
      <c r="BX88" s="8" t="str">
        <v>GaN</v>
      </c>
      <c r="BY88" s="8" t="str">
        <v>GaN</v>
      </c>
      <c r="BZ88" s="8" t="str">
        <v>GaN</v>
      </c>
      <c r="CA88" s="8" t="str">
        <v>GaN</v>
      </c>
      <c r="CB88" s="8" t="str">
        <v>GaN</v>
      </c>
      <c r="CC88" s="8" t="str">
        <v>GaN</v>
      </c>
      <c r="CD88" s="8" t="str">
        <v>GaN</v>
      </c>
      <c r="CE88" s="8" t="str">
        <v>GaN</v>
      </c>
      <c r="CF88" s="8" t="str">
        <v>GaN</v>
      </c>
      <c r="CG88" s="8" t="str">
        <v>GaN</v>
      </c>
      <c r="CH88" s="8" t="str">
        <v>GaN</v>
      </c>
      <c r="CI88" s="8" t="str">
        <v>GaN</v>
      </c>
      <c r="CJ88" s="8" t="str">
        <v>GaN</v>
      </c>
      <c r="CK88" s="8" t="str">
        <v>GaN</v>
      </c>
      <c r="CL88" s="8" t="str">
        <v>GaN</v>
      </c>
      <c r="CM88" s="8" t="str">
        <v>GaN</v>
      </c>
      <c r="CN88" s="8" t="str">
        <v>GaN</v>
      </c>
    </row>
    <row r="89" spans="6:92" x14ac:dyDescent="0.3">
      <c r="F89">
        <v>50</v>
      </c>
      <c r="G89">
        <f t="shared" si="54"/>
        <v>323</v>
      </c>
      <c r="H89">
        <f t="shared" si="50"/>
        <v>35.928690172892452</v>
      </c>
      <c r="J89">
        <v>0.7</v>
      </c>
      <c r="K89">
        <f t="shared" si="93"/>
        <v>573601380.52102983</v>
      </c>
      <c r="L89">
        <f t="shared" si="51"/>
        <v>0.99974041089297339</v>
      </c>
      <c r="N89">
        <v>7</v>
      </c>
      <c r="O89">
        <f t="shared" si="56"/>
        <v>6771197.9497060617</v>
      </c>
      <c r="P89">
        <f t="shared" si="52"/>
        <v>0.97824693200166113</v>
      </c>
      <c r="R89">
        <f t="shared" si="57"/>
        <v>6771197.9497060617</v>
      </c>
      <c r="S89">
        <f t="shared" si="53"/>
        <v>0.97824693200166113</v>
      </c>
      <c r="Z89" s="26">
        <v>190</v>
      </c>
      <c r="AA89" s="8">
        <f t="shared" ref="AA89:AT89" si="98">MIN(AA28,AA55)</f>
        <v>38778522.28812144</v>
      </c>
      <c r="AB89" s="8">
        <f t="shared" si="98"/>
        <v>23466093.373455685</v>
      </c>
      <c r="AC89" s="8">
        <f t="shared" si="98"/>
        <v>9989627.8452522196</v>
      </c>
      <c r="AD89" s="8">
        <f t="shared" si="98"/>
        <v>2318383.9845205387</v>
      </c>
      <c r="AE89" s="8">
        <f t="shared" si="98"/>
        <v>746679.91259913845</v>
      </c>
      <c r="AF89" s="8">
        <f t="shared" si="98"/>
        <v>295869.09907221422</v>
      </c>
      <c r="AG89" s="8">
        <f t="shared" si="98"/>
        <v>135264.546130426</v>
      </c>
      <c r="AH89" s="8">
        <f t="shared" si="98"/>
        <v>68665.038520884351</v>
      </c>
      <c r="AI89" s="8">
        <f t="shared" si="98"/>
        <v>37758.423268226397</v>
      </c>
      <c r="AJ89" s="8">
        <f t="shared" si="98"/>
        <v>22114.889208913104</v>
      </c>
      <c r="AK89" s="8">
        <f t="shared" si="98"/>
        <v>13630.680820370488</v>
      </c>
      <c r="AL89" s="8">
        <f t="shared" si="98"/>
        <v>8762.9414370434388</v>
      </c>
      <c r="AM89" s="8">
        <f t="shared" si="98"/>
        <v>5836.4502908513059</v>
      </c>
      <c r="AN89" s="8">
        <f t="shared" si="98"/>
        <v>4006.2152484531011</v>
      </c>
      <c r="AO89" s="8">
        <f t="shared" si="98"/>
        <v>2822.2729237305939</v>
      </c>
      <c r="AP89" s="8">
        <f t="shared" si="98"/>
        <v>2033.6956891330506</v>
      </c>
      <c r="AQ89" s="8">
        <f t="shared" si="98"/>
        <v>1494.8699597187085</v>
      </c>
      <c r="AR89" s="8">
        <f t="shared" si="98"/>
        <v>1118.3150011005685</v>
      </c>
      <c r="AS89" s="8">
        <f t="shared" si="98"/>
        <v>849.84795657531004</v>
      </c>
      <c r="AT89" s="8">
        <f t="shared" si="98"/>
        <v>654.99060101950863</v>
      </c>
      <c r="AW89" s="26">
        <v>190</v>
      </c>
      <c r="AX89" s="8">
        <f t="shared" si="59"/>
        <v>0.99616709429850114</v>
      </c>
      <c r="AY89" s="8">
        <f t="shared" si="60"/>
        <v>0.99367391669089555</v>
      </c>
      <c r="AZ89" s="8">
        <f t="shared" si="61"/>
        <v>0.98520310386292642</v>
      </c>
      <c r="BA89" s="8">
        <f t="shared" si="62"/>
        <v>0.93778515863048051</v>
      </c>
      <c r="BB89" s="8">
        <f t="shared" si="63"/>
        <v>0.81918700288883017</v>
      </c>
      <c r="BC89" s="8">
        <f t="shared" si="64"/>
        <v>0.60451385012609093</v>
      </c>
      <c r="BD89" s="8">
        <f t="shared" si="65"/>
        <v>0.33255378212527864</v>
      </c>
      <c r="BE89" s="8">
        <f t="shared" si="66"/>
        <v>0.11431593684465795</v>
      </c>
      <c r="BF89" s="8">
        <f t="shared" si="67"/>
        <v>1.9370177821313925E-2</v>
      </c>
      <c r="BG89" s="8">
        <f t="shared" si="68"/>
        <v>1.189853891542639E-3</v>
      </c>
      <c r="BH89" s="8">
        <f t="shared" si="69"/>
        <v>1.799614427661995E-5</v>
      </c>
      <c r="BI89" s="8">
        <f t="shared" si="70"/>
        <v>4.1636291929609163E-8</v>
      </c>
      <c r="BJ89" s="8">
        <f t="shared" si="71"/>
        <v>8.2938319746247354E-12</v>
      </c>
      <c r="BK89" s="8">
        <f t="shared" si="72"/>
        <v>7.1829147860517772E-17</v>
      </c>
      <c r="BL89" s="8">
        <f t="shared" si="73"/>
        <v>1.2134602039471477E-23</v>
      </c>
      <c r="BM89" s="8">
        <f t="shared" si="74"/>
        <v>1.5784260951292226E-32</v>
      </c>
      <c r="BN89" s="8">
        <f t="shared" si="75"/>
        <v>5.4359734041434592E-44</v>
      </c>
      <c r="BO89" s="8">
        <f t="shared" si="76"/>
        <v>1.4700675980007176E-58</v>
      </c>
      <c r="BP89" s="8">
        <f t="shared" si="77"/>
        <v>7.906678015964164E-77</v>
      </c>
      <c r="BQ89" s="8">
        <f t="shared" si="78"/>
        <v>1.8110069720290192E-99</v>
      </c>
      <c r="BT89" s="26">
        <v>190</v>
      </c>
      <c r="BU89" s="8" t="str">
        <v>Si</v>
      </c>
      <c r="BV89" s="8" t="str">
        <v>Si</v>
      </c>
      <c r="BW89" s="8" t="str">
        <v>GaN</v>
      </c>
      <c r="BX89" s="8" t="str">
        <v>GaN</v>
      </c>
      <c r="BY89" s="8" t="str">
        <v>GaN</v>
      </c>
      <c r="BZ89" s="8" t="str">
        <v>GaN</v>
      </c>
      <c r="CA89" s="8" t="str">
        <v>GaN</v>
      </c>
      <c r="CB89" s="8" t="str">
        <v>GaN</v>
      </c>
      <c r="CC89" s="8" t="str">
        <v>GaN</v>
      </c>
      <c r="CD89" s="8" t="str">
        <v>GaN</v>
      </c>
      <c r="CE89" s="8" t="str">
        <v>GaN</v>
      </c>
      <c r="CF89" s="8" t="str">
        <v>GaN</v>
      </c>
      <c r="CG89" s="8" t="str">
        <v>GaN</v>
      </c>
      <c r="CH89" s="8" t="str">
        <v>GaN</v>
      </c>
      <c r="CI89" s="8" t="str">
        <v>GaN</v>
      </c>
      <c r="CJ89" s="8" t="str">
        <v>GaN</v>
      </c>
      <c r="CK89" s="8" t="str">
        <v>GaN</v>
      </c>
      <c r="CL89" s="8" t="str">
        <v>GaN</v>
      </c>
      <c r="CM89" s="8" t="str">
        <v>GaN</v>
      </c>
      <c r="CN89" s="8" t="str">
        <v>GaN</v>
      </c>
    </row>
    <row r="90" spans="6:92" x14ac:dyDescent="0.3">
      <c r="F90">
        <v>50</v>
      </c>
      <c r="G90">
        <f t="shared" si="54"/>
        <v>323</v>
      </c>
      <c r="H90">
        <f t="shared" si="50"/>
        <v>35.928690172892452</v>
      </c>
      <c r="J90">
        <v>0.8</v>
      </c>
      <c r="K90">
        <f t="shared" si="93"/>
        <v>347104086.49513346</v>
      </c>
      <c r="L90">
        <f t="shared" si="51"/>
        <v>0.99957105645144395</v>
      </c>
      <c r="N90">
        <v>8</v>
      </c>
      <c r="O90">
        <f t="shared" si="56"/>
        <v>3437298.1047139047</v>
      </c>
      <c r="P90">
        <f t="shared" si="52"/>
        <v>0.95760038143273551</v>
      </c>
      <c r="R90">
        <f t="shared" si="57"/>
        <v>3437298.1047139047</v>
      </c>
      <c r="S90">
        <f t="shared" si="53"/>
        <v>0.95760038143273551</v>
      </c>
      <c r="Z90" s="26">
        <v>200</v>
      </c>
      <c r="AA90" s="8">
        <f t="shared" ref="AA90:AT90" si="99">MIN(AA29,AA56)</f>
        <v>29354681.749101602</v>
      </c>
      <c r="AB90" s="8">
        <f t="shared" si="99"/>
        <v>17763433.525250591</v>
      </c>
      <c r="AC90" s="8">
        <f t="shared" si="99"/>
        <v>8253801.7025449527</v>
      </c>
      <c r="AD90" s="8">
        <f t="shared" si="99"/>
        <v>1915534.990393372</v>
      </c>
      <c r="AE90" s="8">
        <f t="shared" si="99"/>
        <v>616934.6875915858</v>
      </c>
      <c r="AF90" s="8">
        <f t="shared" si="99"/>
        <v>244458.04303043341</v>
      </c>
      <c r="AG90" s="8">
        <f t="shared" si="99"/>
        <v>111760.59393202471</v>
      </c>
      <c r="AH90" s="8">
        <f t="shared" si="99"/>
        <v>56733.606159147232</v>
      </c>
      <c r="AI90" s="8">
        <f t="shared" si="99"/>
        <v>31197.412264443712</v>
      </c>
      <c r="AJ90" s="8">
        <f t="shared" si="99"/>
        <v>18272.143170065348</v>
      </c>
      <c r="AK90" s="8">
        <f t="shared" si="99"/>
        <v>11262.174958348533</v>
      </c>
      <c r="AL90" s="8">
        <f t="shared" si="99"/>
        <v>7240.2678130543227</v>
      </c>
      <c r="AM90" s="8">
        <f t="shared" si="99"/>
        <v>4822.2920907251491</v>
      </c>
      <c r="AN90" s="8">
        <f t="shared" si="99"/>
        <v>3310.0838940821309</v>
      </c>
      <c r="AO90" s="8">
        <f t="shared" si="99"/>
        <v>2331.8667545763769</v>
      </c>
      <c r="AP90" s="8">
        <f t="shared" si="99"/>
        <v>1680.314942803647</v>
      </c>
      <c r="AQ90" s="8">
        <f t="shared" si="99"/>
        <v>1235.1171044348409</v>
      </c>
      <c r="AR90" s="8">
        <f t="shared" si="99"/>
        <v>923.99340626611524</v>
      </c>
      <c r="AS90" s="8">
        <f t="shared" si="99"/>
        <v>702.17595885910998</v>
      </c>
      <c r="AT90" s="8">
        <f t="shared" si="99"/>
        <v>541.17757153637649</v>
      </c>
      <c r="AW90" s="26">
        <v>200</v>
      </c>
      <c r="AX90" s="8">
        <f t="shared" si="59"/>
        <v>0.99493972054342461</v>
      </c>
      <c r="AY90" s="8">
        <f t="shared" si="60"/>
        <v>0.99165152930079881</v>
      </c>
      <c r="AZ90" s="8">
        <f t="shared" si="61"/>
        <v>0.98211919825827565</v>
      </c>
      <c r="BA90" s="8">
        <f t="shared" si="62"/>
        <v>0.92520190090485388</v>
      </c>
      <c r="BB90" s="8">
        <f t="shared" si="63"/>
        <v>0.78553758162367526</v>
      </c>
      <c r="BC90" s="8">
        <f t="shared" si="64"/>
        <v>0.54379426524623609</v>
      </c>
      <c r="BD90" s="8">
        <f t="shared" si="65"/>
        <v>0.26381923424716042</v>
      </c>
      <c r="BE90" s="8">
        <f t="shared" si="66"/>
        <v>7.2447056035542787E-2</v>
      </c>
      <c r="BF90" s="8">
        <f t="shared" si="67"/>
        <v>8.4509802698938836E-3</v>
      </c>
      <c r="BG90" s="8">
        <f t="shared" si="68"/>
        <v>2.8870323347505398E-4</v>
      </c>
      <c r="BH90" s="8">
        <f t="shared" si="69"/>
        <v>1.8084812870841871E-6</v>
      </c>
      <c r="BI90" s="8">
        <f t="shared" si="70"/>
        <v>1.1676181450862299E-9</v>
      </c>
      <c r="BJ90" s="8">
        <f t="shared" si="71"/>
        <v>3.875253542707535E-14</v>
      </c>
      <c r="BK90" s="8">
        <f t="shared" si="72"/>
        <v>2.8918764999490763E-20</v>
      </c>
      <c r="BL90" s="8">
        <f t="shared" si="73"/>
        <v>1.8393006386413049E-28</v>
      </c>
      <c r="BM90" s="8">
        <f t="shared" si="74"/>
        <v>3.2367698968409937E-39</v>
      </c>
      <c r="BN90" s="8">
        <f t="shared" si="75"/>
        <v>4.3294769686515867E-53</v>
      </c>
      <c r="BO90" s="8">
        <f t="shared" si="76"/>
        <v>1.011035668241552E-70</v>
      </c>
      <c r="BP90" s="8">
        <f t="shared" si="77"/>
        <v>7.8210673680690667E-93</v>
      </c>
      <c r="BQ90" s="8">
        <f t="shared" si="78"/>
        <v>3.1034366692225465E-120</v>
      </c>
      <c r="BT90" s="26">
        <v>200</v>
      </c>
      <c r="BU90" s="8" t="str">
        <v>Si</v>
      </c>
      <c r="BV90" s="8" t="str">
        <v>Si</v>
      </c>
      <c r="BW90" s="8" t="str">
        <v>GaN</v>
      </c>
      <c r="BX90" s="8" t="str">
        <v>GaN</v>
      </c>
      <c r="BY90" s="8" t="str">
        <v>GaN</v>
      </c>
      <c r="BZ90" s="8" t="str">
        <v>GaN</v>
      </c>
      <c r="CA90" s="8" t="str">
        <v>GaN</v>
      </c>
      <c r="CB90" s="8" t="str">
        <v>GaN</v>
      </c>
      <c r="CC90" s="8" t="str">
        <v>GaN</v>
      </c>
      <c r="CD90" s="8" t="str">
        <v>GaN</v>
      </c>
      <c r="CE90" s="8" t="str">
        <v>GaN</v>
      </c>
      <c r="CF90" s="8" t="str">
        <v>GaN</v>
      </c>
      <c r="CG90" s="8" t="str">
        <v>GaN</v>
      </c>
      <c r="CH90" s="8" t="str">
        <v>GaN</v>
      </c>
      <c r="CI90" s="8" t="str">
        <v>GaN</v>
      </c>
      <c r="CJ90" s="8" t="str">
        <v>GaN</v>
      </c>
      <c r="CK90" s="8" t="str">
        <v>GaN</v>
      </c>
      <c r="CL90" s="8" t="str">
        <v>GaN</v>
      </c>
      <c r="CM90" s="8" t="str">
        <v>GaN</v>
      </c>
      <c r="CN90" s="8" t="str">
        <v>GaN</v>
      </c>
    </row>
    <row r="91" spans="6:92" x14ac:dyDescent="0.3">
      <c r="F91">
        <v>50</v>
      </c>
      <c r="G91">
        <f t="shared" si="54"/>
        <v>323</v>
      </c>
      <c r="H91">
        <f t="shared" si="50"/>
        <v>35.928690172892452</v>
      </c>
      <c r="J91">
        <v>0.9</v>
      </c>
      <c r="K91">
        <f t="shared" si="93"/>
        <v>210043509.22618452</v>
      </c>
      <c r="L91">
        <f t="shared" si="51"/>
        <v>0.99929125531570451</v>
      </c>
      <c r="N91">
        <v>9</v>
      </c>
      <c r="O91">
        <f t="shared" si="56"/>
        <v>1890146.1286937972</v>
      </c>
      <c r="P91">
        <f t="shared" si="52"/>
        <v>0.92423624908424484</v>
      </c>
      <c r="R91">
        <f t="shared" si="57"/>
        <v>1890146.1286937972</v>
      </c>
      <c r="S91">
        <f t="shared" si="53"/>
        <v>0.92423624908424484</v>
      </c>
    </row>
    <row r="92" spans="6:92" x14ac:dyDescent="0.3">
      <c r="F92">
        <v>50</v>
      </c>
      <c r="G92">
        <f t="shared" si="54"/>
        <v>323</v>
      </c>
      <c r="H92">
        <f t="shared" si="50"/>
        <v>35.928690172892452</v>
      </c>
      <c r="J92">
        <v>1</v>
      </c>
      <c r="K92">
        <f t="shared" si="93"/>
        <v>127103878.87832849</v>
      </c>
      <c r="L92">
        <f t="shared" si="51"/>
        <v>0.99882904601296341</v>
      </c>
      <c r="N92">
        <v>10</v>
      </c>
      <c r="O92">
        <f t="shared" si="56"/>
        <v>1107047.6096890999</v>
      </c>
      <c r="P92">
        <f t="shared" si="52"/>
        <v>0.87413543109621672</v>
      </c>
      <c r="R92">
        <f t="shared" si="57"/>
        <v>1107047.6096890999</v>
      </c>
      <c r="S92">
        <f t="shared" si="53"/>
        <v>0.87413543109621672</v>
      </c>
    </row>
    <row r="93" spans="6:92" x14ac:dyDescent="0.3">
      <c r="F93">
        <v>50</v>
      </c>
      <c r="G93">
        <f t="shared" si="54"/>
        <v>323</v>
      </c>
      <c r="H93">
        <f t="shared" si="50"/>
        <v>35.928690172892452</v>
      </c>
      <c r="J93">
        <v>1.1000000000000001</v>
      </c>
      <c r="K93">
        <f t="shared" si="93"/>
        <v>76914521.593332887</v>
      </c>
      <c r="L93">
        <f t="shared" si="51"/>
        <v>0.99806569783830457</v>
      </c>
      <c r="N93">
        <v>11</v>
      </c>
      <c r="O93">
        <f t="shared" si="56"/>
        <v>682337.24700481282</v>
      </c>
      <c r="P93">
        <f t="shared" si="52"/>
        <v>0.80392455815206665</v>
      </c>
      <c r="R93">
        <f t="shared" si="57"/>
        <v>682337.24700481282</v>
      </c>
      <c r="S93">
        <f t="shared" si="53"/>
        <v>0.80392455815206665</v>
      </c>
      <c r="AV93" t="s">
        <v>129</v>
      </c>
      <c r="AW93" s="22" t="s">
        <v>96</v>
      </c>
      <c r="AX93" s="21" t="s">
        <v>97</v>
      </c>
      <c r="AY93" s="21" t="s">
        <v>98</v>
      </c>
      <c r="AZ93" s="21" t="s">
        <v>99</v>
      </c>
      <c r="BA93" s="21" t="s">
        <v>100</v>
      </c>
      <c r="BB93" s="21" t="s">
        <v>101</v>
      </c>
      <c r="BC93" s="21" t="s">
        <v>102</v>
      </c>
      <c r="BD93" s="21" t="s">
        <v>103</v>
      </c>
      <c r="BE93" s="21" t="s">
        <v>104</v>
      </c>
      <c r="BF93" s="21" t="s">
        <v>105</v>
      </c>
      <c r="BG93" s="21" t="s">
        <v>106</v>
      </c>
      <c r="BH93" s="21" t="s">
        <v>116</v>
      </c>
      <c r="BI93" s="21" t="s">
        <v>107</v>
      </c>
      <c r="BJ93" s="21" t="s">
        <v>108</v>
      </c>
      <c r="BK93" s="21" t="s">
        <v>109</v>
      </c>
      <c r="BL93" s="21" t="s">
        <v>110</v>
      </c>
      <c r="BM93" s="21" t="s">
        <v>111</v>
      </c>
      <c r="BN93" s="21" t="s">
        <v>112</v>
      </c>
      <c r="BO93" s="21" t="s">
        <v>113</v>
      </c>
      <c r="BP93" s="21" t="s">
        <v>114</v>
      </c>
      <c r="BQ93" s="21" t="s">
        <v>115</v>
      </c>
      <c r="BT93" s="22" t="s">
        <v>96</v>
      </c>
      <c r="BU93" s="21" t="s">
        <v>97</v>
      </c>
      <c r="BV93" s="21" t="s">
        <v>98</v>
      </c>
      <c r="BW93" s="21" t="s">
        <v>99</v>
      </c>
      <c r="BX93" s="21" t="s">
        <v>100</v>
      </c>
      <c r="BY93" s="21" t="s">
        <v>101</v>
      </c>
      <c r="BZ93" s="21" t="s">
        <v>102</v>
      </c>
      <c r="CA93" s="21" t="s">
        <v>103</v>
      </c>
      <c r="CB93" s="21" t="s">
        <v>104</v>
      </c>
      <c r="CC93" s="21" t="s">
        <v>105</v>
      </c>
      <c r="CD93" s="21" t="s">
        <v>106</v>
      </c>
      <c r="CE93" s="21" t="s">
        <v>116</v>
      </c>
      <c r="CF93" s="21" t="s">
        <v>107</v>
      </c>
      <c r="CG93" s="21" t="s">
        <v>108</v>
      </c>
      <c r="CH93" s="21" t="s">
        <v>109</v>
      </c>
      <c r="CI93" s="21" t="s">
        <v>110</v>
      </c>
      <c r="CJ93" s="21" t="s">
        <v>111</v>
      </c>
      <c r="CK93" s="21" t="s">
        <v>112</v>
      </c>
      <c r="CL93" s="21" t="s">
        <v>113</v>
      </c>
      <c r="CM93" s="21" t="s">
        <v>114</v>
      </c>
      <c r="CN93" s="21" t="s">
        <v>115</v>
      </c>
    </row>
    <row r="94" spans="6:92" x14ac:dyDescent="0.3">
      <c r="F94">
        <v>50</v>
      </c>
      <c r="G94">
        <f t="shared" si="54"/>
        <v>323</v>
      </c>
      <c r="H94">
        <f t="shared" si="50"/>
        <v>35.928690172892452</v>
      </c>
      <c r="J94">
        <v>1.2</v>
      </c>
      <c r="K94">
        <f t="shared" si="93"/>
        <v>46543376.049084067</v>
      </c>
      <c r="L94">
        <f t="shared" si="51"/>
        <v>0.99680551724880706</v>
      </c>
      <c r="N94">
        <v>12</v>
      </c>
      <c r="O94">
        <f t="shared" si="56"/>
        <v>438663.43982472469</v>
      </c>
      <c r="P94">
        <f t="shared" si="52"/>
        <v>0.71213642346087858</v>
      </c>
      <c r="R94">
        <f t="shared" si="57"/>
        <v>438663.43982472469</v>
      </c>
      <c r="S94">
        <f t="shared" si="53"/>
        <v>0.71213642346087858</v>
      </c>
      <c r="AW94" s="26">
        <v>10</v>
      </c>
      <c r="AX94" s="8" t="str">
        <f>IF(ABS(AX71-0.9921)&lt;0.001,1,"0")</f>
        <v>0</v>
      </c>
      <c r="AY94" s="8" t="str">
        <f t="shared" ref="AY94:BQ108" si="100">IF(ABS(AY71-0.9921)&lt;0.001,1,"0")</f>
        <v>0</v>
      </c>
      <c r="AZ94" s="8" t="str">
        <f t="shared" si="100"/>
        <v>0</v>
      </c>
      <c r="BA94" s="8" t="str">
        <f t="shared" si="100"/>
        <v>0</v>
      </c>
      <c r="BB94" s="8" t="str">
        <f t="shared" si="100"/>
        <v>0</v>
      </c>
      <c r="BC94" s="8" t="str">
        <f t="shared" si="100"/>
        <v>0</v>
      </c>
      <c r="BD94" s="8" t="str">
        <f t="shared" si="100"/>
        <v>0</v>
      </c>
      <c r="BE94" s="8">
        <f t="shared" si="100"/>
        <v>1</v>
      </c>
      <c r="BF94" s="8" t="str">
        <f t="shared" si="100"/>
        <v>0</v>
      </c>
      <c r="BG94" s="8" t="str">
        <f t="shared" si="100"/>
        <v>0</v>
      </c>
      <c r="BH94" s="8" t="str">
        <f t="shared" si="100"/>
        <v>0</v>
      </c>
      <c r="BI94" s="8" t="str">
        <f t="shared" si="100"/>
        <v>0</v>
      </c>
      <c r="BJ94" s="8" t="str">
        <f t="shared" si="100"/>
        <v>0</v>
      </c>
      <c r="BK94" s="8" t="str">
        <f t="shared" si="100"/>
        <v>0</v>
      </c>
      <c r="BL94" s="8" t="str">
        <f t="shared" si="100"/>
        <v>0</v>
      </c>
      <c r="BM94" s="8" t="str">
        <f t="shared" si="100"/>
        <v>0</v>
      </c>
      <c r="BN94" s="8" t="str">
        <f t="shared" si="100"/>
        <v>0</v>
      </c>
      <c r="BO94" s="8" t="str">
        <f t="shared" si="100"/>
        <v>0</v>
      </c>
      <c r="BP94" s="8" t="str">
        <f t="shared" si="100"/>
        <v>0</v>
      </c>
      <c r="BQ94" s="8" t="str">
        <f t="shared" si="100"/>
        <v>0</v>
      </c>
      <c r="BT94" s="26">
        <v>10</v>
      </c>
      <c r="BU94" s="8" t="str" cm="1">
        <f t="array" ref="BU94:CN113">IF(AX10:BQ29&lt;=AX37:BQ56, "Si", "GaN")</f>
        <v>Si</v>
      </c>
      <c r="BV94" s="8" t="str">
        <v>GaN</v>
      </c>
      <c r="BW94" s="8" t="str">
        <v>GaN</v>
      </c>
      <c r="BX94" s="8" t="str">
        <v>GaN</v>
      </c>
      <c r="BY94" s="8" t="str">
        <v>GaN</v>
      </c>
      <c r="BZ94" s="8" t="str">
        <v>GaN</v>
      </c>
      <c r="CA94" s="8" t="str">
        <v>GaN</v>
      </c>
      <c r="CB94" s="8" t="str">
        <v>GaN</v>
      </c>
      <c r="CC94" s="8" t="str">
        <v>GaN</v>
      </c>
      <c r="CD94" s="8" t="str">
        <v>GaN</v>
      </c>
      <c r="CE94" s="8" t="str">
        <v>GaN</v>
      </c>
      <c r="CF94" s="8" t="str">
        <v>GaN</v>
      </c>
      <c r="CG94" s="8" t="str">
        <v>GaN</v>
      </c>
      <c r="CH94" s="8" t="str">
        <v>GaN</v>
      </c>
      <c r="CI94" s="8" t="str">
        <v>GaN</v>
      </c>
      <c r="CJ94" s="8" t="str">
        <v>GaN</v>
      </c>
      <c r="CK94" s="8" t="str">
        <v>GaN</v>
      </c>
      <c r="CL94" s="8" t="str">
        <v>GaN</v>
      </c>
      <c r="CM94" s="8" t="str">
        <v>GaN</v>
      </c>
      <c r="CN94" s="8" t="str">
        <v>GaN</v>
      </c>
    </row>
    <row r="95" spans="6:92" x14ac:dyDescent="0.3">
      <c r="F95">
        <v>50</v>
      </c>
      <c r="G95">
        <f t="shared" si="54"/>
        <v>323</v>
      </c>
      <c r="H95">
        <f t="shared" si="50"/>
        <v>35.928690172892452</v>
      </c>
      <c r="J95">
        <v>1.3</v>
      </c>
      <c r="K95">
        <f t="shared" si="93"/>
        <v>28164848.576971821</v>
      </c>
      <c r="L95">
        <f t="shared" si="51"/>
        <v>0.99472651203328932</v>
      </c>
      <c r="N95">
        <v>13</v>
      </c>
      <c r="O95">
        <f t="shared" si="56"/>
        <v>292166.43513421179</v>
      </c>
      <c r="P95">
        <f t="shared" si="52"/>
        <v>0.60067006367967479</v>
      </c>
      <c r="R95">
        <f t="shared" si="57"/>
        <v>292166.43513421179</v>
      </c>
      <c r="S95">
        <f t="shared" si="53"/>
        <v>0.60067006367967479</v>
      </c>
      <c r="AW95" s="26">
        <v>20</v>
      </c>
      <c r="AX95" s="8" t="str">
        <f>IF(ABS(AX72-0.9921)&lt;0.001,1,"0")</f>
        <v>0</v>
      </c>
      <c r="AY95" s="8" t="str">
        <f t="shared" ref="AX95:BM113" si="101">IF(ABS(AY72-0.9921)&lt;0.001,1,"0")</f>
        <v>0</v>
      </c>
      <c r="AZ95" s="8" t="str">
        <f t="shared" si="101"/>
        <v>0</v>
      </c>
      <c r="BA95" s="8" t="str">
        <f t="shared" si="101"/>
        <v>0</v>
      </c>
      <c r="BB95" s="8" t="str">
        <f t="shared" si="101"/>
        <v>0</v>
      </c>
      <c r="BC95" s="8" t="str">
        <f t="shared" si="101"/>
        <v>0</v>
      </c>
      <c r="BD95" s="8" t="str">
        <f t="shared" si="101"/>
        <v>0</v>
      </c>
      <c r="BE95" s="8" t="str">
        <f t="shared" si="101"/>
        <v>0</v>
      </c>
      <c r="BF95" s="8" t="str">
        <f t="shared" si="101"/>
        <v>0</v>
      </c>
      <c r="BG95" s="8" t="str">
        <f t="shared" si="101"/>
        <v>0</v>
      </c>
      <c r="BH95" s="8" t="str">
        <f t="shared" si="101"/>
        <v>0</v>
      </c>
      <c r="BI95" s="8" t="str">
        <f t="shared" si="101"/>
        <v>0</v>
      </c>
      <c r="BJ95" s="8" t="str">
        <f t="shared" si="101"/>
        <v>0</v>
      </c>
      <c r="BK95" s="8" t="str">
        <f t="shared" si="101"/>
        <v>0</v>
      </c>
      <c r="BL95" s="8" t="str">
        <f t="shared" si="101"/>
        <v>0</v>
      </c>
      <c r="BM95" s="8" t="str">
        <f t="shared" si="101"/>
        <v>0</v>
      </c>
      <c r="BN95" s="8" t="str">
        <f t="shared" si="100"/>
        <v>0</v>
      </c>
      <c r="BO95" s="8" t="str">
        <f t="shared" si="100"/>
        <v>0</v>
      </c>
      <c r="BP95" s="8" t="str">
        <f t="shared" si="100"/>
        <v>0</v>
      </c>
      <c r="BQ95" s="8" t="str">
        <f t="shared" si="100"/>
        <v>0</v>
      </c>
      <c r="BT95" s="26">
        <v>20</v>
      </c>
      <c r="BU95" s="8" t="str">
        <v>Si</v>
      </c>
      <c r="BV95" s="8" t="str">
        <v>GaN</v>
      </c>
      <c r="BW95" s="8" t="str">
        <v>GaN</v>
      </c>
      <c r="BX95" s="8" t="str">
        <v>GaN</v>
      </c>
      <c r="BY95" s="8" t="str">
        <v>GaN</v>
      </c>
      <c r="BZ95" s="8" t="str">
        <v>GaN</v>
      </c>
      <c r="CA95" s="8" t="str">
        <v>GaN</v>
      </c>
      <c r="CB95" s="8" t="str">
        <v>GaN</v>
      </c>
      <c r="CC95" s="8" t="str">
        <v>GaN</v>
      </c>
      <c r="CD95" s="8" t="str">
        <v>GaN</v>
      </c>
      <c r="CE95" s="8" t="str">
        <v>GaN</v>
      </c>
      <c r="CF95" s="8" t="str">
        <v>GaN</v>
      </c>
      <c r="CG95" s="8" t="str">
        <v>GaN</v>
      </c>
      <c r="CH95" s="8" t="str">
        <v>GaN</v>
      </c>
      <c r="CI95" s="8" t="str">
        <v>GaN</v>
      </c>
      <c r="CJ95" s="8" t="str">
        <v>GaN</v>
      </c>
      <c r="CK95" s="8" t="str">
        <v>GaN</v>
      </c>
      <c r="CL95" s="8" t="str">
        <v>GaN</v>
      </c>
      <c r="CM95" s="8" t="str">
        <v>GaN</v>
      </c>
      <c r="CN95" s="8" t="str">
        <v>GaN</v>
      </c>
    </row>
    <row r="96" spans="6:92" x14ac:dyDescent="0.3">
      <c r="F96">
        <v>50</v>
      </c>
      <c r="G96">
        <f t="shared" si="54"/>
        <v>323</v>
      </c>
      <c r="H96">
        <f t="shared" si="50"/>
        <v>35.928690172892452</v>
      </c>
      <c r="J96">
        <v>1.4</v>
      </c>
      <c r="K96">
        <f t="shared" si="93"/>
        <v>17043428.360830385</v>
      </c>
      <c r="L96">
        <f t="shared" si="51"/>
        <v>0.99130038393037767</v>
      </c>
      <c r="N96">
        <v>14</v>
      </c>
      <c r="O96">
        <f t="shared" si="56"/>
        <v>200546.83398153921</v>
      </c>
      <c r="P96">
        <f t="shared" si="52"/>
        <v>0.47588945538693739</v>
      </c>
      <c r="R96">
        <f t="shared" si="57"/>
        <v>200546.83398153921</v>
      </c>
      <c r="S96">
        <f t="shared" si="53"/>
        <v>0.47588945538693739</v>
      </c>
      <c r="AW96" s="26">
        <v>30</v>
      </c>
      <c r="AX96" s="8" t="str">
        <f t="shared" si="101"/>
        <v>0</v>
      </c>
      <c r="AY96" s="8" t="str">
        <f t="shared" si="100"/>
        <v>0</v>
      </c>
      <c r="AZ96" s="8" t="str">
        <f t="shared" si="100"/>
        <v>0</v>
      </c>
      <c r="BA96" s="8" t="str">
        <f t="shared" si="100"/>
        <v>0</v>
      </c>
      <c r="BB96" s="8" t="str">
        <f t="shared" si="100"/>
        <v>0</v>
      </c>
      <c r="BC96" s="8" t="str">
        <f t="shared" si="100"/>
        <v>0</v>
      </c>
      <c r="BD96" s="8" t="str">
        <f t="shared" si="100"/>
        <v>0</v>
      </c>
      <c r="BE96" s="8" t="str">
        <f t="shared" si="100"/>
        <v>0</v>
      </c>
      <c r="BF96" s="8" t="str">
        <f t="shared" si="100"/>
        <v>0</v>
      </c>
      <c r="BG96" s="8" t="str">
        <f t="shared" si="100"/>
        <v>0</v>
      </c>
      <c r="BH96" s="8" t="str">
        <f t="shared" si="100"/>
        <v>0</v>
      </c>
      <c r="BI96" s="8" t="str">
        <f t="shared" si="100"/>
        <v>0</v>
      </c>
      <c r="BJ96" s="8" t="str">
        <f t="shared" si="100"/>
        <v>0</v>
      </c>
      <c r="BK96" s="8" t="str">
        <f t="shared" si="100"/>
        <v>0</v>
      </c>
      <c r="BL96" s="8" t="str">
        <f t="shared" si="100"/>
        <v>0</v>
      </c>
      <c r="BM96" s="8" t="str">
        <f t="shared" si="100"/>
        <v>0</v>
      </c>
      <c r="BN96" s="8" t="str">
        <f t="shared" si="100"/>
        <v>0</v>
      </c>
      <c r="BO96" s="8" t="str">
        <f t="shared" si="100"/>
        <v>0</v>
      </c>
      <c r="BP96" s="8" t="str">
        <f t="shared" si="100"/>
        <v>0</v>
      </c>
      <c r="BQ96" s="8" t="str">
        <f t="shared" si="100"/>
        <v>0</v>
      </c>
      <c r="BT96" s="26">
        <v>30</v>
      </c>
      <c r="BU96" s="8" t="str">
        <v>Si</v>
      </c>
      <c r="BV96" s="8" t="str">
        <v>GaN</v>
      </c>
      <c r="BW96" s="8" t="str">
        <v>GaN</v>
      </c>
      <c r="BX96" s="8" t="str">
        <v>GaN</v>
      </c>
      <c r="BY96" s="8" t="str">
        <v>GaN</v>
      </c>
      <c r="BZ96" s="8" t="str">
        <v>GaN</v>
      </c>
      <c r="CA96" s="8" t="str">
        <v>GaN</v>
      </c>
      <c r="CB96" s="8" t="str">
        <v>GaN</v>
      </c>
      <c r="CC96" s="8" t="str">
        <v>GaN</v>
      </c>
      <c r="CD96" s="8" t="str">
        <v>GaN</v>
      </c>
      <c r="CE96" s="8" t="str">
        <v>GaN</v>
      </c>
      <c r="CF96" s="8" t="str">
        <v>GaN</v>
      </c>
      <c r="CG96" s="8" t="str">
        <v>GaN</v>
      </c>
      <c r="CH96" s="8" t="str">
        <v>GaN</v>
      </c>
      <c r="CI96" s="8" t="str">
        <v>GaN</v>
      </c>
      <c r="CJ96" s="8" t="str">
        <v>GaN</v>
      </c>
      <c r="CK96" s="8" t="str">
        <v>GaN</v>
      </c>
      <c r="CL96" s="8" t="str">
        <v>GaN</v>
      </c>
      <c r="CM96" s="8" t="str">
        <v>GaN</v>
      </c>
      <c r="CN96" s="8" t="str">
        <v>GaN</v>
      </c>
    </row>
    <row r="97" spans="6:92" x14ac:dyDescent="0.3">
      <c r="F97">
        <v>50</v>
      </c>
      <c r="G97">
        <f t="shared" si="54"/>
        <v>323</v>
      </c>
      <c r="H97">
        <f t="shared" si="50"/>
        <v>35.928690172892452</v>
      </c>
      <c r="J97">
        <v>1.5</v>
      </c>
      <c r="K97">
        <f t="shared" si="93"/>
        <v>10313510.100965289</v>
      </c>
      <c r="L97">
        <f t="shared" si="51"/>
        <v>0.98566443398040282</v>
      </c>
      <c r="N97">
        <v>15</v>
      </c>
      <c r="O97">
        <f t="shared" si="56"/>
        <v>141279.95237014251</v>
      </c>
      <c r="P97">
        <f t="shared" si="52"/>
        <v>0.34851382987899832</v>
      </c>
      <c r="R97">
        <f t="shared" si="57"/>
        <v>141279.95237014251</v>
      </c>
      <c r="S97">
        <f t="shared" si="53"/>
        <v>0.34851382987899832</v>
      </c>
      <c r="AW97" s="26">
        <v>40</v>
      </c>
      <c r="AX97" s="8" t="str">
        <f t="shared" si="101"/>
        <v>0</v>
      </c>
      <c r="AY97" s="8" t="str">
        <f t="shared" si="100"/>
        <v>0</v>
      </c>
      <c r="AZ97" s="8" t="str">
        <f t="shared" si="100"/>
        <v>0</v>
      </c>
      <c r="BA97" s="8" t="str">
        <f t="shared" si="100"/>
        <v>0</v>
      </c>
      <c r="BB97" s="8" t="str">
        <f t="shared" si="100"/>
        <v>0</v>
      </c>
      <c r="BC97" s="8" t="str">
        <f t="shared" si="100"/>
        <v>0</v>
      </c>
      <c r="BD97" s="8" t="str">
        <f t="shared" si="100"/>
        <v>0</v>
      </c>
      <c r="BE97" s="8" t="str">
        <f t="shared" si="100"/>
        <v>0</v>
      </c>
      <c r="BF97" s="8" t="str">
        <f t="shared" si="100"/>
        <v>0</v>
      </c>
      <c r="BG97" s="8" t="str">
        <f t="shared" si="100"/>
        <v>0</v>
      </c>
      <c r="BH97" s="8" t="str">
        <f t="shared" si="100"/>
        <v>0</v>
      </c>
      <c r="BI97" s="8" t="str">
        <f t="shared" si="100"/>
        <v>0</v>
      </c>
      <c r="BJ97" s="8" t="str">
        <f t="shared" si="100"/>
        <v>0</v>
      </c>
      <c r="BK97" s="8" t="str">
        <f t="shared" si="100"/>
        <v>0</v>
      </c>
      <c r="BL97" s="8" t="str">
        <f t="shared" si="100"/>
        <v>0</v>
      </c>
      <c r="BM97" s="8" t="str">
        <f t="shared" si="100"/>
        <v>0</v>
      </c>
      <c r="BN97" s="8" t="str">
        <f t="shared" si="100"/>
        <v>0</v>
      </c>
      <c r="BO97" s="8" t="str">
        <f t="shared" si="100"/>
        <v>0</v>
      </c>
      <c r="BP97" s="8" t="str">
        <f t="shared" si="100"/>
        <v>0</v>
      </c>
      <c r="BQ97" s="8" t="str">
        <f t="shared" si="100"/>
        <v>0</v>
      </c>
      <c r="BT97" s="26">
        <v>40</v>
      </c>
      <c r="BU97" s="8" t="str">
        <v>Si</v>
      </c>
      <c r="BV97" s="8" t="str">
        <v>GaN</v>
      </c>
      <c r="BW97" s="8" t="str">
        <v>GaN</v>
      </c>
      <c r="BX97" s="8" t="str">
        <v>GaN</v>
      </c>
      <c r="BY97" s="8" t="str">
        <v>GaN</v>
      </c>
      <c r="BZ97" s="8" t="str">
        <v>GaN</v>
      </c>
      <c r="CA97" s="8" t="str">
        <v>GaN</v>
      </c>
      <c r="CB97" s="8" t="str">
        <v>GaN</v>
      </c>
      <c r="CC97" s="8" t="str">
        <v>GaN</v>
      </c>
      <c r="CD97" s="8" t="str">
        <v>GaN</v>
      </c>
      <c r="CE97" s="8" t="str">
        <v>GaN</v>
      </c>
      <c r="CF97" s="8" t="str">
        <v>GaN</v>
      </c>
      <c r="CG97" s="8" t="str">
        <v>GaN</v>
      </c>
      <c r="CH97" s="8" t="str">
        <v>GaN</v>
      </c>
      <c r="CI97" s="8" t="str">
        <v>GaN</v>
      </c>
      <c r="CJ97" s="8" t="str">
        <v>GaN</v>
      </c>
      <c r="CK97" s="8" t="str">
        <v>GaN</v>
      </c>
      <c r="CL97" s="8" t="str">
        <v>GaN</v>
      </c>
      <c r="CM97" s="8" t="str">
        <v>GaN</v>
      </c>
      <c r="CN97" s="8" t="str">
        <v>GaN</v>
      </c>
    </row>
    <row r="98" spans="6:92" x14ac:dyDescent="0.3">
      <c r="F98">
        <v>50</v>
      </c>
      <c r="G98">
        <f t="shared" si="54"/>
        <v>323</v>
      </c>
      <c r="H98">
        <f t="shared" si="50"/>
        <v>35.928690172892452</v>
      </c>
      <c r="J98">
        <v>1.6</v>
      </c>
      <c r="K98">
        <f t="shared" si="93"/>
        <v>6241026.6497303946</v>
      </c>
      <c r="L98">
        <f t="shared" si="51"/>
        <v>0.97642097496395774</v>
      </c>
      <c r="N98">
        <v>16</v>
      </c>
      <c r="O98">
        <f t="shared" si="56"/>
        <v>101804.62267847924</v>
      </c>
      <c r="P98">
        <f t="shared" si="52"/>
        <v>0.23158647238725369</v>
      </c>
      <c r="R98">
        <f t="shared" si="57"/>
        <v>101804.62267847924</v>
      </c>
      <c r="S98">
        <f t="shared" si="53"/>
        <v>0.23158647238725369</v>
      </c>
      <c r="AW98" s="26">
        <v>50</v>
      </c>
      <c r="AX98" s="8" t="str">
        <f t="shared" si="101"/>
        <v>0</v>
      </c>
      <c r="AY98" s="8" t="str">
        <f t="shared" si="100"/>
        <v>0</v>
      </c>
      <c r="AZ98" s="8" t="str">
        <f t="shared" si="100"/>
        <v>0</v>
      </c>
      <c r="BA98" s="8" t="str">
        <f t="shared" si="100"/>
        <v>0</v>
      </c>
      <c r="BB98" s="8" t="str">
        <f t="shared" si="100"/>
        <v>0</v>
      </c>
      <c r="BC98" s="8" t="str">
        <f t="shared" si="100"/>
        <v>0</v>
      </c>
      <c r="BD98" s="8" t="str">
        <f t="shared" si="100"/>
        <v>0</v>
      </c>
      <c r="BE98" s="8" t="str">
        <f t="shared" si="100"/>
        <v>0</v>
      </c>
      <c r="BF98" s="8" t="str">
        <f t="shared" si="100"/>
        <v>0</v>
      </c>
      <c r="BG98" s="8" t="str">
        <f t="shared" si="100"/>
        <v>0</v>
      </c>
      <c r="BH98" s="8" t="str">
        <f t="shared" si="100"/>
        <v>0</v>
      </c>
      <c r="BI98" s="8" t="str">
        <f t="shared" si="100"/>
        <v>0</v>
      </c>
      <c r="BJ98" s="8" t="str">
        <f t="shared" si="100"/>
        <v>0</v>
      </c>
      <c r="BK98" s="8" t="str">
        <f t="shared" si="100"/>
        <v>0</v>
      </c>
      <c r="BL98" s="8" t="str">
        <f t="shared" si="100"/>
        <v>0</v>
      </c>
      <c r="BM98" s="8" t="str">
        <f t="shared" si="100"/>
        <v>0</v>
      </c>
      <c r="BN98" s="8" t="str">
        <f t="shared" si="100"/>
        <v>0</v>
      </c>
      <c r="BO98" s="8" t="str">
        <f t="shared" si="100"/>
        <v>0</v>
      </c>
      <c r="BP98" s="8" t="str">
        <f t="shared" si="100"/>
        <v>0</v>
      </c>
      <c r="BQ98" s="8" t="str">
        <f t="shared" si="100"/>
        <v>0</v>
      </c>
      <c r="BT98" s="26">
        <v>50</v>
      </c>
      <c r="BU98" s="8" t="str">
        <v>Si</v>
      </c>
      <c r="BV98" s="8" t="str">
        <v>GaN</v>
      </c>
      <c r="BW98" s="8" t="str">
        <v>GaN</v>
      </c>
      <c r="BX98" s="8" t="str">
        <v>GaN</v>
      </c>
      <c r="BY98" s="8" t="str">
        <v>GaN</v>
      </c>
      <c r="BZ98" s="8" t="str">
        <v>GaN</v>
      </c>
      <c r="CA98" s="8" t="str">
        <v>GaN</v>
      </c>
      <c r="CB98" s="8" t="str">
        <v>GaN</v>
      </c>
      <c r="CC98" s="8" t="str">
        <v>GaN</v>
      </c>
      <c r="CD98" s="8" t="str">
        <v>GaN</v>
      </c>
      <c r="CE98" s="8" t="str">
        <v>GaN</v>
      </c>
      <c r="CF98" s="8" t="str">
        <v>GaN</v>
      </c>
      <c r="CG98" s="8" t="str">
        <v>GaN</v>
      </c>
      <c r="CH98" s="8" t="str">
        <v>GaN</v>
      </c>
      <c r="CI98" s="8" t="str">
        <v>GaN</v>
      </c>
      <c r="CJ98" s="8" t="str">
        <v>GaN</v>
      </c>
      <c r="CK98" s="8" t="str">
        <v>GaN</v>
      </c>
      <c r="CL98" s="8" t="str">
        <v>GaN</v>
      </c>
      <c r="CM98" s="8" t="str">
        <v>GaN</v>
      </c>
      <c r="CN98" s="8" t="str">
        <v>GaN</v>
      </c>
    </row>
    <row r="99" spans="6:92" x14ac:dyDescent="0.3">
      <c r="F99">
        <v>50</v>
      </c>
      <c r="G99">
        <f t="shared" si="54"/>
        <v>323</v>
      </c>
      <c r="H99">
        <f t="shared" si="50"/>
        <v>35.928690172892452</v>
      </c>
      <c r="J99">
        <v>1.7</v>
      </c>
      <c r="K99">
        <f t="shared" si="93"/>
        <v>3776639.8889743118</v>
      </c>
      <c r="L99">
        <f t="shared" si="51"/>
        <v>0.96133544070612886</v>
      </c>
      <c r="N99">
        <v>17</v>
      </c>
      <c r="O99">
        <f t="shared" si="56"/>
        <v>74831.585185407836</v>
      </c>
      <c r="P99">
        <f t="shared" si="52"/>
        <v>0.13668602647934472</v>
      </c>
      <c r="R99">
        <f t="shared" si="57"/>
        <v>74831.585185407836</v>
      </c>
      <c r="S99">
        <f t="shared" si="53"/>
        <v>0.13668602647934472</v>
      </c>
      <c r="AW99" s="26">
        <v>60</v>
      </c>
      <c r="AX99" s="8" t="str">
        <f t="shared" si="101"/>
        <v>0</v>
      </c>
      <c r="AY99" s="8" t="str">
        <f t="shared" si="100"/>
        <v>0</v>
      </c>
      <c r="AZ99" s="8" t="str">
        <f t="shared" si="100"/>
        <v>0</v>
      </c>
      <c r="BA99" s="8" t="str">
        <f t="shared" si="100"/>
        <v>0</v>
      </c>
      <c r="BB99" s="8" t="str">
        <f t="shared" si="100"/>
        <v>0</v>
      </c>
      <c r="BC99" s="8" t="str">
        <f t="shared" si="100"/>
        <v>0</v>
      </c>
      <c r="BD99" s="8" t="str">
        <f t="shared" si="100"/>
        <v>0</v>
      </c>
      <c r="BE99" s="8" t="str">
        <f t="shared" si="100"/>
        <v>0</v>
      </c>
      <c r="BF99" s="8" t="str">
        <f t="shared" si="100"/>
        <v>0</v>
      </c>
      <c r="BG99" s="8" t="str">
        <f t="shared" si="100"/>
        <v>0</v>
      </c>
      <c r="BH99" s="8" t="str">
        <f t="shared" si="100"/>
        <v>0</v>
      </c>
      <c r="BI99" s="8" t="str">
        <f t="shared" si="100"/>
        <v>0</v>
      </c>
      <c r="BJ99" s="8" t="str">
        <f t="shared" si="100"/>
        <v>0</v>
      </c>
      <c r="BK99" s="8" t="str">
        <f t="shared" si="100"/>
        <v>0</v>
      </c>
      <c r="BL99" s="8" t="str">
        <f t="shared" si="100"/>
        <v>0</v>
      </c>
      <c r="BM99" s="8" t="str">
        <f t="shared" si="100"/>
        <v>0</v>
      </c>
      <c r="BN99" s="8" t="str">
        <f t="shared" si="100"/>
        <v>0</v>
      </c>
      <c r="BO99" s="8" t="str">
        <f t="shared" si="100"/>
        <v>0</v>
      </c>
      <c r="BP99" s="8" t="str">
        <f t="shared" si="100"/>
        <v>0</v>
      </c>
      <c r="BQ99" s="8" t="str">
        <f t="shared" si="100"/>
        <v>0</v>
      </c>
      <c r="BT99" s="26">
        <v>60</v>
      </c>
      <c r="BU99" s="8" t="str">
        <v>Si</v>
      </c>
      <c r="BV99" s="8" t="str">
        <v>GaN</v>
      </c>
      <c r="BW99" s="8" t="str">
        <v>GaN</v>
      </c>
      <c r="BX99" s="8" t="str">
        <v>GaN</v>
      </c>
      <c r="BY99" s="8" t="str">
        <v>GaN</v>
      </c>
      <c r="BZ99" s="8" t="str">
        <v>GaN</v>
      </c>
      <c r="CA99" s="8" t="str">
        <v>GaN</v>
      </c>
      <c r="CB99" s="8" t="str">
        <v>GaN</v>
      </c>
      <c r="CC99" s="8" t="str">
        <v>GaN</v>
      </c>
      <c r="CD99" s="8" t="str">
        <v>GaN</v>
      </c>
      <c r="CE99" s="8" t="str">
        <v>GaN</v>
      </c>
      <c r="CF99" s="8" t="str">
        <v>GaN</v>
      </c>
      <c r="CG99" s="8" t="str">
        <v>GaN</v>
      </c>
      <c r="CH99" s="8" t="str">
        <v>GaN</v>
      </c>
      <c r="CI99" s="8" t="str">
        <v>GaN</v>
      </c>
      <c r="CJ99" s="8" t="str">
        <v>GaN</v>
      </c>
      <c r="CK99" s="8" t="str">
        <v>GaN</v>
      </c>
      <c r="CL99" s="8" t="str">
        <v>GaN</v>
      </c>
      <c r="CM99" s="8" t="str">
        <v>GaN</v>
      </c>
      <c r="CN99" s="8" t="str">
        <v>GaN</v>
      </c>
    </row>
    <row r="100" spans="6:92" x14ac:dyDescent="0.3">
      <c r="F100">
        <v>50</v>
      </c>
      <c r="G100">
        <f t="shared" si="54"/>
        <v>323</v>
      </c>
      <c r="H100">
        <f t="shared" si="50"/>
        <v>35.928690172892452</v>
      </c>
      <c r="J100">
        <v>1.8</v>
      </c>
      <c r="K100">
        <f t="shared" si="93"/>
        <v>2285362.593605977</v>
      </c>
      <c r="L100">
        <f t="shared" si="51"/>
        <v>0.93691517769074295</v>
      </c>
      <c r="N100">
        <v>18</v>
      </c>
      <c r="O100">
        <f t="shared" si="56"/>
        <v>55981.64825301848</v>
      </c>
      <c r="P100">
        <f t="shared" si="52"/>
        <v>6.993720759450657E-2</v>
      </c>
      <c r="R100">
        <f t="shared" si="57"/>
        <v>55981.64825301848</v>
      </c>
      <c r="S100">
        <f t="shared" si="53"/>
        <v>6.993720759450657E-2</v>
      </c>
      <c r="AW100" s="26">
        <v>70</v>
      </c>
      <c r="AX100" s="8" t="str">
        <f t="shared" si="101"/>
        <v>0</v>
      </c>
      <c r="AY100" s="8" t="str">
        <f t="shared" si="100"/>
        <v>0</v>
      </c>
      <c r="AZ100" s="8" t="str">
        <f t="shared" si="100"/>
        <v>0</v>
      </c>
      <c r="BA100" s="8" t="str">
        <f t="shared" si="100"/>
        <v>0</v>
      </c>
      <c r="BB100" s="8">
        <f t="shared" si="100"/>
        <v>1</v>
      </c>
      <c r="BC100" s="8" t="str">
        <f t="shared" si="100"/>
        <v>0</v>
      </c>
      <c r="BD100" s="8" t="str">
        <f t="shared" si="100"/>
        <v>0</v>
      </c>
      <c r="BE100" s="8" t="str">
        <f t="shared" si="100"/>
        <v>0</v>
      </c>
      <c r="BF100" s="8" t="str">
        <f t="shared" si="100"/>
        <v>0</v>
      </c>
      <c r="BG100" s="8" t="str">
        <f t="shared" si="100"/>
        <v>0</v>
      </c>
      <c r="BH100" s="8" t="str">
        <f t="shared" si="100"/>
        <v>0</v>
      </c>
      <c r="BI100" s="8" t="str">
        <f t="shared" si="100"/>
        <v>0</v>
      </c>
      <c r="BJ100" s="8" t="str">
        <f t="shared" si="100"/>
        <v>0</v>
      </c>
      <c r="BK100" s="8" t="str">
        <f t="shared" si="100"/>
        <v>0</v>
      </c>
      <c r="BL100" s="8" t="str">
        <f t="shared" si="100"/>
        <v>0</v>
      </c>
      <c r="BM100" s="8" t="str">
        <f t="shared" si="100"/>
        <v>0</v>
      </c>
      <c r="BN100" s="8" t="str">
        <f t="shared" si="100"/>
        <v>0</v>
      </c>
      <c r="BO100" s="8" t="str">
        <f t="shared" si="100"/>
        <v>0</v>
      </c>
      <c r="BP100" s="8" t="str">
        <f t="shared" si="100"/>
        <v>0</v>
      </c>
      <c r="BQ100" s="8" t="str">
        <f t="shared" si="100"/>
        <v>0</v>
      </c>
      <c r="BT100" s="26">
        <v>70</v>
      </c>
      <c r="BU100" s="8" t="str">
        <v>Si</v>
      </c>
      <c r="BV100" s="8" t="str">
        <v>GaN</v>
      </c>
      <c r="BW100" s="8" t="str">
        <v>GaN</v>
      </c>
      <c r="BX100" s="8" t="str">
        <v>GaN</v>
      </c>
      <c r="BY100" s="8" t="str">
        <v>GaN</v>
      </c>
      <c r="BZ100" s="8" t="str">
        <v>GaN</v>
      </c>
      <c r="CA100" s="8" t="str">
        <v>GaN</v>
      </c>
      <c r="CB100" s="8" t="str">
        <v>GaN</v>
      </c>
      <c r="CC100" s="8" t="str">
        <v>GaN</v>
      </c>
      <c r="CD100" s="8" t="str">
        <v>GaN</v>
      </c>
      <c r="CE100" s="8" t="str">
        <v>GaN</v>
      </c>
      <c r="CF100" s="8" t="str">
        <v>GaN</v>
      </c>
      <c r="CG100" s="8" t="str">
        <v>GaN</v>
      </c>
      <c r="CH100" s="8" t="str">
        <v>GaN</v>
      </c>
      <c r="CI100" s="8" t="str">
        <v>GaN</v>
      </c>
      <c r="CJ100" s="8" t="str">
        <v>GaN</v>
      </c>
      <c r="CK100" s="8" t="str">
        <v>GaN</v>
      </c>
      <c r="CL100" s="8" t="str">
        <v>GaN</v>
      </c>
      <c r="CM100" s="8" t="str">
        <v>GaN</v>
      </c>
      <c r="CN100" s="8" t="str">
        <v>GaN</v>
      </c>
    </row>
    <row r="101" spans="6:92" x14ac:dyDescent="0.3">
      <c r="F101">
        <v>50</v>
      </c>
      <c r="G101">
        <f t="shared" si="54"/>
        <v>323</v>
      </c>
      <c r="H101">
        <f t="shared" si="50"/>
        <v>35.928690172892452</v>
      </c>
      <c r="J101">
        <v>1.9</v>
      </c>
      <c r="K101">
        <f t="shared" si="93"/>
        <v>1382944.1879013586</v>
      </c>
      <c r="L101">
        <f t="shared" si="51"/>
        <v>0.89791191612981891</v>
      </c>
      <c r="N101">
        <v>19</v>
      </c>
      <c r="O101">
        <f t="shared" si="56"/>
        <v>42542.476249289888</v>
      </c>
      <c r="P101">
        <f t="shared" si="52"/>
        <v>3.0182244596507014E-2</v>
      </c>
      <c r="R101">
        <f t="shared" si="57"/>
        <v>42542.476249289888</v>
      </c>
      <c r="S101">
        <f t="shared" si="53"/>
        <v>3.0182244596507014E-2</v>
      </c>
      <c r="AW101" s="26">
        <v>80</v>
      </c>
      <c r="AX101" s="8" t="str">
        <f t="shared" si="101"/>
        <v>0</v>
      </c>
      <c r="AY101" s="8" t="str">
        <f t="shared" si="100"/>
        <v>0</v>
      </c>
      <c r="AZ101" s="8" t="str">
        <f t="shared" si="100"/>
        <v>0</v>
      </c>
      <c r="BA101" s="8" t="str">
        <f t="shared" si="100"/>
        <v>0</v>
      </c>
      <c r="BB101" s="8" t="str">
        <f t="shared" si="100"/>
        <v>0</v>
      </c>
      <c r="BC101" s="8" t="str">
        <f t="shared" si="100"/>
        <v>0</v>
      </c>
      <c r="BD101" s="8" t="str">
        <f t="shared" si="100"/>
        <v>0</v>
      </c>
      <c r="BE101" s="8" t="str">
        <f t="shared" si="100"/>
        <v>0</v>
      </c>
      <c r="BF101" s="8" t="str">
        <f t="shared" si="100"/>
        <v>0</v>
      </c>
      <c r="BG101" s="8" t="str">
        <f t="shared" si="100"/>
        <v>0</v>
      </c>
      <c r="BH101" s="8" t="str">
        <f t="shared" si="100"/>
        <v>0</v>
      </c>
      <c r="BI101" s="8" t="str">
        <f t="shared" si="100"/>
        <v>0</v>
      </c>
      <c r="BJ101" s="8" t="str">
        <f t="shared" si="100"/>
        <v>0</v>
      </c>
      <c r="BK101" s="8" t="str">
        <f t="shared" si="100"/>
        <v>0</v>
      </c>
      <c r="BL101" s="8" t="str">
        <f t="shared" si="100"/>
        <v>0</v>
      </c>
      <c r="BM101" s="8" t="str">
        <f t="shared" si="100"/>
        <v>0</v>
      </c>
      <c r="BN101" s="8" t="str">
        <f t="shared" si="100"/>
        <v>0</v>
      </c>
      <c r="BO101" s="8" t="str">
        <f t="shared" si="100"/>
        <v>0</v>
      </c>
      <c r="BP101" s="8" t="str">
        <f t="shared" si="100"/>
        <v>0</v>
      </c>
      <c r="BQ101" s="8" t="str">
        <f t="shared" si="100"/>
        <v>0</v>
      </c>
      <c r="BT101" s="26">
        <v>80</v>
      </c>
      <c r="BU101" s="8" t="str">
        <v>Si</v>
      </c>
      <c r="BV101" s="8" t="str">
        <v>GaN</v>
      </c>
      <c r="BW101" s="8" t="str">
        <v>GaN</v>
      </c>
      <c r="BX101" s="8" t="str">
        <v>GaN</v>
      </c>
      <c r="BY101" s="8" t="str">
        <v>GaN</v>
      </c>
      <c r="BZ101" s="8" t="str">
        <v>GaN</v>
      </c>
      <c r="CA101" s="8" t="str">
        <v>GaN</v>
      </c>
      <c r="CB101" s="8" t="str">
        <v>GaN</v>
      </c>
      <c r="CC101" s="8" t="str">
        <v>GaN</v>
      </c>
      <c r="CD101" s="8" t="str">
        <v>GaN</v>
      </c>
      <c r="CE101" s="8" t="str">
        <v>GaN</v>
      </c>
      <c r="CF101" s="8" t="str">
        <v>GaN</v>
      </c>
      <c r="CG101" s="8" t="str">
        <v>GaN</v>
      </c>
      <c r="CH101" s="8" t="str">
        <v>GaN</v>
      </c>
      <c r="CI101" s="8" t="str">
        <v>GaN</v>
      </c>
      <c r="CJ101" s="8" t="str">
        <v>GaN</v>
      </c>
      <c r="CK101" s="8" t="str">
        <v>GaN</v>
      </c>
      <c r="CL101" s="8" t="str">
        <v>GaN</v>
      </c>
      <c r="CM101" s="8" t="str">
        <v>GaN</v>
      </c>
      <c r="CN101" s="8" t="str">
        <v>GaN</v>
      </c>
    </row>
    <row r="102" spans="6:92" x14ac:dyDescent="0.3">
      <c r="F102">
        <v>50</v>
      </c>
      <c r="G102">
        <f t="shared" si="54"/>
        <v>323</v>
      </c>
      <c r="H102">
        <f t="shared" si="50"/>
        <v>35.928690172892452</v>
      </c>
      <c r="J102">
        <v>2</v>
      </c>
      <c r="K102">
        <f t="shared" si="93"/>
        <v>836862.66336950671</v>
      </c>
      <c r="L102">
        <f t="shared" si="51"/>
        <v>0.83698398256078799</v>
      </c>
      <c r="N102">
        <v>20</v>
      </c>
      <c r="O102">
        <f t="shared" si="56"/>
        <v>32788.126242804334</v>
      </c>
      <c r="P102">
        <f t="shared" si="52"/>
        <v>1.0653273238669242E-2</v>
      </c>
      <c r="R102">
        <f t="shared" si="57"/>
        <v>32788.126242804334</v>
      </c>
      <c r="S102">
        <f t="shared" si="53"/>
        <v>1.0653273238669242E-2</v>
      </c>
      <c r="AW102" s="26">
        <v>90</v>
      </c>
      <c r="AX102" s="8" t="str">
        <f t="shared" si="101"/>
        <v>0</v>
      </c>
      <c r="AY102" s="8" t="str">
        <f t="shared" si="100"/>
        <v>0</v>
      </c>
      <c r="AZ102" s="8" t="str">
        <f t="shared" si="100"/>
        <v>0</v>
      </c>
      <c r="BA102" s="8" t="str">
        <f t="shared" si="100"/>
        <v>0</v>
      </c>
      <c r="BB102" s="8" t="str">
        <f t="shared" si="100"/>
        <v>0</v>
      </c>
      <c r="BC102" s="8" t="str">
        <f t="shared" si="100"/>
        <v>0</v>
      </c>
      <c r="BD102" s="8" t="str">
        <f t="shared" si="100"/>
        <v>0</v>
      </c>
      <c r="BE102" s="8" t="str">
        <f t="shared" si="100"/>
        <v>0</v>
      </c>
      <c r="BF102" s="8" t="str">
        <f t="shared" si="100"/>
        <v>0</v>
      </c>
      <c r="BG102" s="8" t="str">
        <f t="shared" si="100"/>
        <v>0</v>
      </c>
      <c r="BH102" s="8" t="str">
        <f t="shared" si="100"/>
        <v>0</v>
      </c>
      <c r="BI102" s="8" t="str">
        <f t="shared" si="100"/>
        <v>0</v>
      </c>
      <c r="BJ102" s="8" t="str">
        <f t="shared" si="100"/>
        <v>0</v>
      </c>
      <c r="BK102" s="8" t="str">
        <f t="shared" si="100"/>
        <v>0</v>
      </c>
      <c r="BL102" s="8" t="str">
        <f t="shared" si="100"/>
        <v>0</v>
      </c>
      <c r="BM102" s="8" t="str">
        <f t="shared" si="100"/>
        <v>0</v>
      </c>
      <c r="BN102" s="8" t="str">
        <f t="shared" si="100"/>
        <v>0</v>
      </c>
      <c r="BO102" s="8" t="str">
        <f t="shared" si="100"/>
        <v>0</v>
      </c>
      <c r="BP102" s="8" t="str">
        <f t="shared" si="100"/>
        <v>0</v>
      </c>
      <c r="BQ102" s="8" t="str">
        <f t="shared" si="100"/>
        <v>0</v>
      </c>
      <c r="BT102" s="26">
        <v>90</v>
      </c>
      <c r="BU102" s="8" t="str">
        <v>Si</v>
      </c>
      <c r="BV102" s="8" t="str">
        <v>Si</v>
      </c>
      <c r="BW102" s="8" t="str">
        <v>GaN</v>
      </c>
      <c r="BX102" s="8" t="str">
        <v>GaN</v>
      </c>
      <c r="BY102" s="8" t="str">
        <v>GaN</v>
      </c>
      <c r="BZ102" s="8" t="str">
        <v>GaN</v>
      </c>
      <c r="CA102" s="8" t="str">
        <v>GaN</v>
      </c>
      <c r="CB102" s="8" t="str">
        <v>GaN</v>
      </c>
      <c r="CC102" s="8" t="str">
        <v>GaN</v>
      </c>
      <c r="CD102" s="8" t="str">
        <v>GaN</v>
      </c>
      <c r="CE102" s="8" t="str">
        <v>GaN</v>
      </c>
      <c r="CF102" s="8" t="str">
        <v>GaN</v>
      </c>
      <c r="CG102" s="8" t="str">
        <v>GaN</v>
      </c>
      <c r="CH102" s="8" t="str">
        <v>GaN</v>
      </c>
      <c r="CI102" s="8" t="str">
        <v>GaN</v>
      </c>
      <c r="CJ102" s="8" t="str">
        <v>GaN</v>
      </c>
      <c r="CK102" s="8" t="str">
        <v>GaN</v>
      </c>
      <c r="CL102" s="8" t="str">
        <v>GaN</v>
      </c>
      <c r="CM102" s="8" t="str">
        <v>GaN</v>
      </c>
      <c r="CN102" s="8" t="str">
        <v>GaN</v>
      </c>
    </row>
    <row r="103" spans="6:92" x14ac:dyDescent="0.3">
      <c r="F103">
        <v>60</v>
      </c>
      <c r="G103">
        <f t="shared" si="54"/>
        <v>333</v>
      </c>
      <c r="H103">
        <f t="shared" si="50"/>
        <v>34.849750528060845</v>
      </c>
      <c r="J103">
        <v>0.1</v>
      </c>
      <c r="K103">
        <f t="shared" si="93"/>
        <v>6627081609.1303902</v>
      </c>
      <c r="L103">
        <f t="shared" si="51"/>
        <v>0.99997752882255375</v>
      </c>
      <c r="N103">
        <v>1</v>
      </c>
      <c r="O103">
        <f t="shared" si="56"/>
        <v>89698394716.582443</v>
      </c>
      <c r="P103">
        <f t="shared" si="52"/>
        <v>0.99999833977099761</v>
      </c>
      <c r="R103">
        <f t="shared" si="57"/>
        <v>6627081609.1303902</v>
      </c>
      <c r="S103">
        <f t="shared" si="53"/>
        <v>0.99997752882255375</v>
      </c>
      <c r="AW103" s="26">
        <v>100</v>
      </c>
      <c r="AX103" s="8" t="str">
        <f t="shared" si="101"/>
        <v>0</v>
      </c>
      <c r="AY103" s="8" t="str">
        <f t="shared" si="100"/>
        <v>0</v>
      </c>
      <c r="AZ103" s="8" t="str">
        <f t="shared" si="100"/>
        <v>0</v>
      </c>
      <c r="BA103" s="8">
        <f t="shared" si="100"/>
        <v>1</v>
      </c>
      <c r="BB103" s="8" t="str">
        <f t="shared" si="100"/>
        <v>0</v>
      </c>
      <c r="BC103" s="8" t="str">
        <f t="shared" si="100"/>
        <v>0</v>
      </c>
      <c r="BD103" s="8" t="str">
        <f t="shared" si="100"/>
        <v>0</v>
      </c>
      <c r="BE103" s="8" t="str">
        <f t="shared" si="100"/>
        <v>0</v>
      </c>
      <c r="BF103" s="8" t="str">
        <f t="shared" si="100"/>
        <v>0</v>
      </c>
      <c r="BG103" s="8" t="str">
        <f t="shared" si="100"/>
        <v>0</v>
      </c>
      <c r="BH103" s="8" t="str">
        <f t="shared" si="100"/>
        <v>0</v>
      </c>
      <c r="BI103" s="8" t="str">
        <f t="shared" si="100"/>
        <v>0</v>
      </c>
      <c r="BJ103" s="8" t="str">
        <f t="shared" si="100"/>
        <v>0</v>
      </c>
      <c r="BK103" s="8" t="str">
        <f t="shared" si="100"/>
        <v>0</v>
      </c>
      <c r="BL103" s="8" t="str">
        <f t="shared" si="100"/>
        <v>0</v>
      </c>
      <c r="BM103" s="8" t="str">
        <f t="shared" si="100"/>
        <v>0</v>
      </c>
      <c r="BN103" s="8" t="str">
        <f t="shared" si="100"/>
        <v>0</v>
      </c>
      <c r="BO103" s="8" t="str">
        <f t="shared" si="100"/>
        <v>0</v>
      </c>
      <c r="BP103" s="8" t="str">
        <f t="shared" si="100"/>
        <v>0</v>
      </c>
      <c r="BQ103" s="8" t="str">
        <f t="shared" si="100"/>
        <v>0</v>
      </c>
      <c r="BT103" s="26">
        <v>100</v>
      </c>
      <c r="BU103" s="8" t="str">
        <v>Si</v>
      </c>
      <c r="BV103" s="8" t="str">
        <v>Si</v>
      </c>
      <c r="BW103" s="8" t="str">
        <v>GaN</v>
      </c>
      <c r="BX103" s="8" t="str">
        <v>GaN</v>
      </c>
      <c r="BY103" s="8" t="str">
        <v>GaN</v>
      </c>
      <c r="BZ103" s="8" t="str">
        <v>GaN</v>
      </c>
      <c r="CA103" s="8" t="str">
        <v>GaN</v>
      </c>
      <c r="CB103" s="8" t="str">
        <v>GaN</v>
      </c>
      <c r="CC103" s="8" t="str">
        <v>GaN</v>
      </c>
      <c r="CD103" s="8" t="str">
        <v>GaN</v>
      </c>
      <c r="CE103" s="8" t="str">
        <v>GaN</v>
      </c>
      <c r="CF103" s="8" t="str">
        <v>GaN</v>
      </c>
      <c r="CG103" s="8" t="str">
        <v>GaN</v>
      </c>
      <c r="CH103" s="8" t="str">
        <v>GaN</v>
      </c>
      <c r="CI103" s="8" t="str">
        <v>GaN</v>
      </c>
      <c r="CJ103" s="8" t="str">
        <v>GaN</v>
      </c>
      <c r="CK103" s="8" t="str">
        <v>GaN</v>
      </c>
      <c r="CL103" s="8" t="str">
        <v>GaN</v>
      </c>
      <c r="CM103" s="8" t="str">
        <v>GaN</v>
      </c>
      <c r="CN103" s="8" t="str">
        <v>GaN</v>
      </c>
    </row>
    <row r="104" spans="6:92" x14ac:dyDescent="0.3">
      <c r="F104">
        <v>60</v>
      </c>
      <c r="G104">
        <f t="shared" si="54"/>
        <v>333</v>
      </c>
      <c r="H104">
        <f t="shared" si="50"/>
        <v>34.849750528060845</v>
      </c>
      <c r="J104">
        <v>0.2</v>
      </c>
      <c r="K104">
        <f t="shared" si="93"/>
        <v>4010253786.30791</v>
      </c>
      <c r="L104">
        <f t="shared" si="51"/>
        <v>0.9999628658825821</v>
      </c>
      <c r="N104">
        <v>2</v>
      </c>
      <c r="O104">
        <f t="shared" si="56"/>
        <v>2656653845.7818842</v>
      </c>
      <c r="P104">
        <f t="shared" si="52"/>
        <v>0.99994394609353277</v>
      </c>
      <c r="R104">
        <f t="shared" si="57"/>
        <v>2656653845.7818842</v>
      </c>
      <c r="S104">
        <f t="shared" si="53"/>
        <v>0.99994394609353277</v>
      </c>
      <c r="AW104" s="26">
        <v>110</v>
      </c>
      <c r="AX104" s="8" t="str">
        <f t="shared" si="101"/>
        <v>0</v>
      </c>
      <c r="AY104" s="8" t="str">
        <f t="shared" si="100"/>
        <v>0</v>
      </c>
      <c r="AZ104" s="8" t="str">
        <f t="shared" si="100"/>
        <v>0</v>
      </c>
      <c r="BA104" s="8" t="str">
        <f t="shared" si="100"/>
        <v>0</v>
      </c>
      <c r="BB104" s="8" t="str">
        <f t="shared" si="100"/>
        <v>0</v>
      </c>
      <c r="BC104" s="8" t="str">
        <f t="shared" si="100"/>
        <v>0</v>
      </c>
      <c r="BD104" s="8" t="str">
        <f t="shared" si="100"/>
        <v>0</v>
      </c>
      <c r="BE104" s="8" t="str">
        <f t="shared" si="100"/>
        <v>0</v>
      </c>
      <c r="BF104" s="8" t="str">
        <f t="shared" si="100"/>
        <v>0</v>
      </c>
      <c r="BG104" s="8" t="str">
        <f t="shared" si="100"/>
        <v>0</v>
      </c>
      <c r="BH104" s="8" t="str">
        <f t="shared" si="100"/>
        <v>0</v>
      </c>
      <c r="BI104" s="8" t="str">
        <f t="shared" si="100"/>
        <v>0</v>
      </c>
      <c r="BJ104" s="8" t="str">
        <f t="shared" si="100"/>
        <v>0</v>
      </c>
      <c r="BK104" s="8" t="str">
        <f t="shared" si="100"/>
        <v>0</v>
      </c>
      <c r="BL104" s="8" t="str">
        <f t="shared" si="100"/>
        <v>0</v>
      </c>
      <c r="BM104" s="8" t="str">
        <f t="shared" si="100"/>
        <v>0</v>
      </c>
      <c r="BN104" s="8" t="str">
        <f t="shared" si="100"/>
        <v>0</v>
      </c>
      <c r="BO104" s="8" t="str">
        <f t="shared" si="100"/>
        <v>0</v>
      </c>
      <c r="BP104" s="8" t="str">
        <f t="shared" si="100"/>
        <v>0</v>
      </c>
      <c r="BQ104" s="8" t="str">
        <f t="shared" si="100"/>
        <v>0</v>
      </c>
      <c r="BT104" s="26">
        <v>110</v>
      </c>
      <c r="BU104" s="8" t="str">
        <v>Si</v>
      </c>
      <c r="BV104" s="8" t="str">
        <v>Si</v>
      </c>
      <c r="BW104" s="8" t="str">
        <v>GaN</v>
      </c>
      <c r="BX104" s="8" t="str">
        <v>GaN</v>
      </c>
      <c r="BY104" s="8" t="str">
        <v>GaN</v>
      </c>
      <c r="BZ104" s="8" t="str">
        <v>GaN</v>
      </c>
      <c r="CA104" s="8" t="str">
        <v>GaN</v>
      </c>
      <c r="CB104" s="8" t="str">
        <v>GaN</v>
      </c>
      <c r="CC104" s="8" t="str">
        <v>GaN</v>
      </c>
      <c r="CD104" s="8" t="str">
        <v>GaN</v>
      </c>
      <c r="CE104" s="8" t="str">
        <v>GaN</v>
      </c>
      <c r="CF104" s="8" t="str">
        <v>GaN</v>
      </c>
      <c r="CG104" s="8" t="str">
        <v>GaN</v>
      </c>
      <c r="CH104" s="8" t="str">
        <v>GaN</v>
      </c>
      <c r="CI104" s="8" t="str">
        <v>GaN</v>
      </c>
      <c r="CJ104" s="8" t="str">
        <v>GaN</v>
      </c>
      <c r="CK104" s="8" t="str">
        <v>GaN</v>
      </c>
      <c r="CL104" s="8" t="str">
        <v>GaN</v>
      </c>
      <c r="CM104" s="8" t="str">
        <v>GaN</v>
      </c>
      <c r="CN104" s="8" t="str">
        <v>GaN</v>
      </c>
    </row>
    <row r="105" spans="6:92" x14ac:dyDescent="0.3">
      <c r="F105">
        <v>60</v>
      </c>
      <c r="G105">
        <f t="shared" si="54"/>
        <v>333</v>
      </c>
      <c r="H105">
        <f t="shared" si="50"/>
        <v>34.849750528060845</v>
      </c>
      <c r="J105">
        <v>0.3</v>
      </c>
      <c r="K105">
        <f t="shared" ref="K105:K124" si="102">$C$7*EXP($C$5*H105)*EXP(-$C$6*J105)</f>
        <v>2426729649.5096641</v>
      </c>
      <c r="L105">
        <f t="shared" si="51"/>
        <v>0.99993863534375527</v>
      </c>
      <c r="N105">
        <v>3</v>
      </c>
      <c r="O105">
        <f t="shared" si="56"/>
        <v>339038651.55485684</v>
      </c>
      <c r="P105">
        <f t="shared" si="52"/>
        <v>0.9995608544980068</v>
      </c>
      <c r="R105">
        <f t="shared" si="57"/>
        <v>339038651.55485684</v>
      </c>
      <c r="S105">
        <f t="shared" si="53"/>
        <v>0.9995608544980068</v>
      </c>
      <c r="AW105" s="26">
        <v>120</v>
      </c>
      <c r="AX105" s="8" t="str">
        <f t="shared" si="101"/>
        <v>0</v>
      </c>
      <c r="AY105" s="8" t="str">
        <f t="shared" si="100"/>
        <v>0</v>
      </c>
      <c r="AZ105" s="8" t="str">
        <f t="shared" si="100"/>
        <v>0</v>
      </c>
      <c r="BA105" s="8" t="str">
        <f t="shared" si="100"/>
        <v>0</v>
      </c>
      <c r="BB105" s="8" t="str">
        <f t="shared" si="100"/>
        <v>0</v>
      </c>
      <c r="BC105" s="8" t="str">
        <f t="shared" si="100"/>
        <v>0</v>
      </c>
      <c r="BD105" s="8" t="str">
        <f t="shared" si="100"/>
        <v>0</v>
      </c>
      <c r="BE105" s="8" t="str">
        <f t="shared" si="100"/>
        <v>0</v>
      </c>
      <c r="BF105" s="8" t="str">
        <f t="shared" si="100"/>
        <v>0</v>
      </c>
      <c r="BG105" s="8" t="str">
        <f t="shared" si="100"/>
        <v>0</v>
      </c>
      <c r="BH105" s="8" t="str">
        <f t="shared" si="100"/>
        <v>0</v>
      </c>
      <c r="BI105" s="8" t="str">
        <f t="shared" si="100"/>
        <v>0</v>
      </c>
      <c r="BJ105" s="8" t="str">
        <f t="shared" si="100"/>
        <v>0</v>
      </c>
      <c r="BK105" s="8" t="str">
        <f t="shared" si="100"/>
        <v>0</v>
      </c>
      <c r="BL105" s="8" t="str">
        <f t="shared" si="100"/>
        <v>0</v>
      </c>
      <c r="BM105" s="8" t="str">
        <f t="shared" si="100"/>
        <v>0</v>
      </c>
      <c r="BN105" s="8" t="str">
        <f t="shared" si="100"/>
        <v>0</v>
      </c>
      <c r="BO105" s="8" t="str">
        <f t="shared" si="100"/>
        <v>0</v>
      </c>
      <c r="BP105" s="8" t="str">
        <f t="shared" si="100"/>
        <v>0</v>
      </c>
      <c r="BQ105" s="8" t="str">
        <f t="shared" si="100"/>
        <v>0</v>
      </c>
      <c r="BT105" s="26">
        <v>120</v>
      </c>
      <c r="BU105" s="8" t="str">
        <v>Si</v>
      </c>
      <c r="BV105" s="8" t="str">
        <v>Si</v>
      </c>
      <c r="BW105" s="8" t="str">
        <v>GaN</v>
      </c>
      <c r="BX105" s="8" t="str">
        <v>GaN</v>
      </c>
      <c r="BY105" s="8" t="str">
        <v>GaN</v>
      </c>
      <c r="BZ105" s="8" t="str">
        <v>GaN</v>
      </c>
      <c r="CA105" s="8" t="str">
        <v>GaN</v>
      </c>
      <c r="CB105" s="8" t="str">
        <v>GaN</v>
      </c>
      <c r="CC105" s="8" t="str">
        <v>GaN</v>
      </c>
      <c r="CD105" s="8" t="str">
        <v>GaN</v>
      </c>
      <c r="CE105" s="8" t="str">
        <v>GaN</v>
      </c>
      <c r="CF105" s="8" t="str">
        <v>GaN</v>
      </c>
      <c r="CG105" s="8" t="str">
        <v>GaN</v>
      </c>
      <c r="CH105" s="8" t="str">
        <v>GaN</v>
      </c>
      <c r="CI105" s="8" t="str">
        <v>GaN</v>
      </c>
      <c r="CJ105" s="8" t="str">
        <v>GaN</v>
      </c>
      <c r="CK105" s="8" t="str">
        <v>GaN</v>
      </c>
      <c r="CL105" s="8" t="str">
        <v>GaN</v>
      </c>
      <c r="CM105" s="8" t="str">
        <v>GaN</v>
      </c>
      <c r="CN105" s="8" t="str">
        <v>GaN</v>
      </c>
    </row>
    <row r="106" spans="6:92" x14ac:dyDescent="0.3">
      <c r="F106">
        <v>60</v>
      </c>
      <c r="G106">
        <f t="shared" si="54"/>
        <v>333</v>
      </c>
      <c r="H106">
        <f t="shared" si="50"/>
        <v>34.849750528060845</v>
      </c>
      <c r="J106">
        <v>0.4</v>
      </c>
      <c r="K106">
        <f t="shared" si="102"/>
        <v>1468489802.7940254</v>
      </c>
      <c r="L106">
        <f t="shared" si="51"/>
        <v>0.99989859483602772</v>
      </c>
      <c r="N106">
        <v>4</v>
      </c>
      <c r="O106">
        <f t="shared" si="56"/>
        <v>78683790.034459874</v>
      </c>
      <c r="P106">
        <f t="shared" si="52"/>
        <v>0.99810915103467579</v>
      </c>
      <c r="R106">
        <f t="shared" si="57"/>
        <v>78683790.034459874</v>
      </c>
      <c r="S106">
        <f t="shared" si="53"/>
        <v>0.99810915103467579</v>
      </c>
      <c r="AW106" s="26">
        <v>130</v>
      </c>
      <c r="AX106" s="8" t="str">
        <f t="shared" si="101"/>
        <v>0</v>
      </c>
      <c r="AY106" s="8" t="str">
        <f t="shared" si="100"/>
        <v>0</v>
      </c>
      <c r="AZ106" s="8" t="str">
        <f t="shared" si="100"/>
        <v>0</v>
      </c>
      <c r="BA106" s="8" t="str">
        <f t="shared" si="100"/>
        <v>0</v>
      </c>
      <c r="BB106" s="8" t="str">
        <f t="shared" si="100"/>
        <v>0</v>
      </c>
      <c r="BC106" s="8" t="str">
        <f t="shared" si="100"/>
        <v>0</v>
      </c>
      <c r="BD106" s="8" t="str">
        <f t="shared" si="100"/>
        <v>0</v>
      </c>
      <c r="BE106" s="8" t="str">
        <f t="shared" si="100"/>
        <v>0</v>
      </c>
      <c r="BF106" s="8" t="str">
        <f t="shared" si="100"/>
        <v>0</v>
      </c>
      <c r="BG106" s="8" t="str">
        <f t="shared" si="100"/>
        <v>0</v>
      </c>
      <c r="BH106" s="8" t="str">
        <f t="shared" si="100"/>
        <v>0</v>
      </c>
      <c r="BI106" s="8" t="str">
        <f t="shared" si="100"/>
        <v>0</v>
      </c>
      <c r="BJ106" s="8" t="str">
        <f t="shared" si="100"/>
        <v>0</v>
      </c>
      <c r="BK106" s="8" t="str">
        <f t="shared" si="100"/>
        <v>0</v>
      </c>
      <c r="BL106" s="8" t="str">
        <f t="shared" si="100"/>
        <v>0</v>
      </c>
      <c r="BM106" s="8" t="str">
        <f t="shared" si="100"/>
        <v>0</v>
      </c>
      <c r="BN106" s="8" t="str">
        <f t="shared" si="100"/>
        <v>0</v>
      </c>
      <c r="BO106" s="8" t="str">
        <f t="shared" si="100"/>
        <v>0</v>
      </c>
      <c r="BP106" s="8" t="str">
        <f t="shared" si="100"/>
        <v>0</v>
      </c>
      <c r="BQ106" s="8" t="str">
        <f t="shared" si="100"/>
        <v>0</v>
      </c>
      <c r="BT106" s="26">
        <v>130</v>
      </c>
      <c r="BU106" s="8" t="str">
        <v>Si</v>
      </c>
      <c r="BV106" s="8" t="str">
        <v>Si</v>
      </c>
      <c r="BW106" s="8" t="str">
        <v>GaN</v>
      </c>
      <c r="BX106" s="8" t="str">
        <v>GaN</v>
      </c>
      <c r="BY106" s="8" t="str">
        <v>GaN</v>
      </c>
      <c r="BZ106" s="8" t="str">
        <v>GaN</v>
      </c>
      <c r="CA106" s="8" t="str">
        <v>GaN</v>
      </c>
      <c r="CB106" s="8" t="str">
        <v>GaN</v>
      </c>
      <c r="CC106" s="8" t="str">
        <v>GaN</v>
      </c>
      <c r="CD106" s="8" t="str">
        <v>GaN</v>
      </c>
      <c r="CE106" s="8" t="str">
        <v>GaN</v>
      </c>
      <c r="CF106" s="8" t="str">
        <v>GaN</v>
      </c>
      <c r="CG106" s="8" t="str">
        <v>GaN</v>
      </c>
      <c r="CH106" s="8" t="str">
        <v>GaN</v>
      </c>
      <c r="CI106" s="8" t="str">
        <v>GaN</v>
      </c>
      <c r="CJ106" s="8" t="str">
        <v>GaN</v>
      </c>
      <c r="CK106" s="8" t="str">
        <v>GaN</v>
      </c>
      <c r="CL106" s="8" t="str">
        <v>GaN</v>
      </c>
      <c r="CM106" s="8" t="str">
        <v>GaN</v>
      </c>
      <c r="CN106" s="8" t="str">
        <v>GaN</v>
      </c>
    </row>
    <row r="107" spans="6:92" x14ac:dyDescent="0.3">
      <c r="F107">
        <v>60</v>
      </c>
      <c r="G107">
        <f t="shared" si="54"/>
        <v>333</v>
      </c>
      <c r="H107">
        <f t="shared" si="50"/>
        <v>34.849750528060845</v>
      </c>
      <c r="J107">
        <v>0.5</v>
      </c>
      <c r="K107">
        <f t="shared" si="102"/>
        <v>888628983.18556499</v>
      </c>
      <c r="L107">
        <f t="shared" si="51"/>
        <v>0.99983243004087197</v>
      </c>
      <c r="N107">
        <v>5</v>
      </c>
      <c r="O107">
        <f t="shared" si="56"/>
        <v>25341619.791274473</v>
      </c>
      <c r="P107">
        <f t="shared" si="52"/>
        <v>0.99414073397933611</v>
      </c>
      <c r="R107">
        <f t="shared" si="57"/>
        <v>25341619.791274473</v>
      </c>
      <c r="S107">
        <f t="shared" si="53"/>
        <v>0.99414073397933611</v>
      </c>
      <c r="AW107" s="26">
        <v>140</v>
      </c>
      <c r="AX107" s="8" t="str">
        <f t="shared" si="101"/>
        <v>0</v>
      </c>
      <c r="AY107" s="8" t="str">
        <f t="shared" si="100"/>
        <v>0</v>
      </c>
      <c r="AZ107" s="8" t="str">
        <f t="shared" si="100"/>
        <v>0</v>
      </c>
      <c r="BA107" s="8" t="str">
        <f t="shared" si="100"/>
        <v>0</v>
      </c>
      <c r="BB107" s="8" t="str">
        <f t="shared" si="100"/>
        <v>0</v>
      </c>
      <c r="BC107" s="8" t="str">
        <f t="shared" si="100"/>
        <v>0</v>
      </c>
      <c r="BD107" s="8" t="str">
        <f t="shared" si="100"/>
        <v>0</v>
      </c>
      <c r="BE107" s="8" t="str">
        <f t="shared" si="100"/>
        <v>0</v>
      </c>
      <c r="BF107" s="8" t="str">
        <f t="shared" si="100"/>
        <v>0</v>
      </c>
      <c r="BG107" s="8" t="str">
        <f t="shared" si="100"/>
        <v>0</v>
      </c>
      <c r="BH107" s="8" t="str">
        <f t="shared" si="100"/>
        <v>0</v>
      </c>
      <c r="BI107" s="8" t="str">
        <f t="shared" si="100"/>
        <v>0</v>
      </c>
      <c r="BJ107" s="8" t="str">
        <f t="shared" si="100"/>
        <v>0</v>
      </c>
      <c r="BK107" s="8" t="str">
        <f t="shared" si="100"/>
        <v>0</v>
      </c>
      <c r="BL107" s="8" t="str">
        <f t="shared" si="100"/>
        <v>0</v>
      </c>
      <c r="BM107" s="8" t="str">
        <f t="shared" si="100"/>
        <v>0</v>
      </c>
      <c r="BN107" s="8" t="str">
        <f t="shared" si="100"/>
        <v>0</v>
      </c>
      <c r="BO107" s="8" t="str">
        <f t="shared" si="100"/>
        <v>0</v>
      </c>
      <c r="BP107" s="8" t="str">
        <f t="shared" si="100"/>
        <v>0</v>
      </c>
      <c r="BQ107" s="8" t="str">
        <f t="shared" si="100"/>
        <v>0</v>
      </c>
      <c r="BT107" s="26">
        <v>140</v>
      </c>
      <c r="BU107" s="8" t="str">
        <v>Si</v>
      </c>
      <c r="BV107" s="8" t="str">
        <v>Si</v>
      </c>
      <c r="BW107" s="8" t="str">
        <v>GaN</v>
      </c>
      <c r="BX107" s="8" t="str">
        <v>GaN</v>
      </c>
      <c r="BY107" s="8" t="str">
        <v>GaN</v>
      </c>
      <c r="BZ107" s="8" t="str">
        <v>GaN</v>
      </c>
      <c r="CA107" s="8" t="str">
        <v>GaN</v>
      </c>
      <c r="CB107" s="8" t="str">
        <v>GaN</v>
      </c>
      <c r="CC107" s="8" t="str">
        <v>GaN</v>
      </c>
      <c r="CD107" s="8" t="str">
        <v>GaN</v>
      </c>
      <c r="CE107" s="8" t="str">
        <v>GaN</v>
      </c>
      <c r="CF107" s="8" t="str">
        <v>GaN</v>
      </c>
      <c r="CG107" s="8" t="str">
        <v>GaN</v>
      </c>
      <c r="CH107" s="8" t="str">
        <v>GaN</v>
      </c>
      <c r="CI107" s="8" t="str">
        <v>GaN</v>
      </c>
      <c r="CJ107" s="8" t="str">
        <v>GaN</v>
      </c>
      <c r="CK107" s="8" t="str">
        <v>GaN</v>
      </c>
      <c r="CL107" s="8" t="str">
        <v>GaN</v>
      </c>
      <c r="CM107" s="8" t="str">
        <v>GaN</v>
      </c>
      <c r="CN107" s="8" t="str">
        <v>GaN</v>
      </c>
    </row>
    <row r="108" spans="6:92" x14ac:dyDescent="0.3">
      <c r="F108">
        <v>60</v>
      </c>
      <c r="G108">
        <f t="shared" si="54"/>
        <v>333</v>
      </c>
      <c r="H108">
        <f t="shared" si="50"/>
        <v>34.849750528060845</v>
      </c>
      <c r="J108">
        <v>0.6</v>
      </c>
      <c r="K108">
        <f t="shared" si="102"/>
        <v>537737114.86110437</v>
      </c>
      <c r="L108">
        <f t="shared" si="51"/>
        <v>0.99972310004840115</v>
      </c>
      <c r="N108">
        <v>6</v>
      </c>
      <c r="O108">
        <f t="shared" si="56"/>
        <v>10041521.259860424</v>
      </c>
      <c r="P108">
        <f t="shared" si="52"/>
        <v>0.98527900686533509</v>
      </c>
      <c r="R108">
        <f t="shared" si="57"/>
        <v>10041521.259860424</v>
      </c>
      <c r="S108">
        <f t="shared" si="53"/>
        <v>0.98527900686533509</v>
      </c>
      <c r="AW108" s="26">
        <v>150</v>
      </c>
      <c r="AX108" s="8" t="str">
        <f t="shared" si="101"/>
        <v>0</v>
      </c>
      <c r="AY108" s="8" t="str">
        <f t="shared" si="100"/>
        <v>0</v>
      </c>
      <c r="AZ108" s="8" t="str">
        <f t="shared" si="100"/>
        <v>0</v>
      </c>
      <c r="BA108" s="8" t="str">
        <f t="shared" si="100"/>
        <v>0</v>
      </c>
      <c r="BB108" s="8" t="str">
        <f t="shared" si="100"/>
        <v>0</v>
      </c>
      <c r="BC108" s="8" t="str">
        <f t="shared" ref="AY108:BQ113" si="103">IF(ABS(BC85-0.9921)&lt;0.001,1,"0")</f>
        <v>0</v>
      </c>
      <c r="BD108" s="8" t="str">
        <f t="shared" si="103"/>
        <v>0</v>
      </c>
      <c r="BE108" s="8" t="str">
        <f t="shared" si="103"/>
        <v>0</v>
      </c>
      <c r="BF108" s="8" t="str">
        <f t="shared" si="103"/>
        <v>0</v>
      </c>
      <c r="BG108" s="8" t="str">
        <f t="shared" si="103"/>
        <v>0</v>
      </c>
      <c r="BH108" s="8" t="str">
        <f t="shared" si="103"/>
        <v>0</v>
      </c>
      <c r="BI108" s="8" t="str">
        <f t="shared" si="103"/>
        <v>0</v>
      </c>
      <c r="BJ108" s="8" t="str">
        <f t="shared" si="103"/>
        <v>0</v>
      </c>
      <c r="BK108" s="8" t="str">
        <f t="shared" si="103"/>
        <v>0</v>
      </c>
      <c r="BL108" s="8" t="str">
        <f t="shared" si="103"/>
        <v>0</v>
      </c>
      <c r="BM108" s="8" t="str">
        <f t="shared" si="103"/>
        <v>0</v>
      </c>
      <c r="BN108" s="8" t="str">
        <f t="shared" si="103"/>
        <v>0</v>
      </c>
      <c r="BO108" s="8" t="str">
        <f t="shared" si="103"/>
        <v>0</v>
      </c>
      <c r="BP108" s="8" t="str">
        <f t="shared" si="103"/>
        <v>0</v>
      </c>
      <c r="BQ108" s="8" t="str">
        <f t="shared" si="103"/>
        <v>0</v>
      </c>
      <c r="BT108" s="26">
        <v>150</v>
      </c>
      <c r="BU108" s="8" t="str">
        <v>Si</v>
      </c>
      <c r="BV108" s="8" t="str">
        <v>Si</v>
      </c>
      <c r="BW108" s="8" t="str">
        <v>GaN</v>
      </c>
      <c r="BX108" s="8" t="str">
        <v>GaN</v>
      </c>
      <c r="BY108" s="8" t="str">
        <v>GaN</v>
      </c>
      <c r="BZ108" s="8" t="str">
        <v>GaN</v>
      </c>
      <c r="CA108" s="8" t="str">
        <v>GaN</v>
      </c>
      <c r="CB108" s="8" t="str">
        <v>GaN</v>
      </c>
      <c r="CC108" s="8" t="str">
        <v>GaN</v>
      </c>
      <c r="CD108" s="8" t="str">
        <v>GaN</v>
      </c>
      <c r="CE108" s="8" t="str">
        <v>GaN</v>
      </c>
      <c r="CF108" s="8" t="str">
        <v>GaN</v>
      </c>
      <c r="CG108" s="8" t="str">
        <v>GaN</v>
      </c>
      <c r="CH108" s="8" t="str">
        <v>GaN</v>
      </c>
      <c r="CI108" s="8" t="str">
        <v>GaN</v>
      </c>
      <c r="CJ108" s="8" t="str">
        <v>GaN</v>
      </c>
      <c r="CK108" s="8" t="str">
        <v>GaN</v>
      </c>
      <c r="CL108" s="8" t="str">
        <v>GaN</v>
      </c>
      <c r="CM108" s="8" t="str">
        <v>GaN</v>
      </c>
      <c r="CN108" s="8" t="str">
        <v>GaN</v>
      </c>
    </row>
    <row r="109" spans="6:92" x14ac:dyDescent="0.3">
      <c r="F109">
        <v>60</v>
      </c>
      <c r="G109">
        <f t="shared" si="54"/>
        <v>333</v>
      </c>
      <c r="H109">
        <f t="shared" si="50"/>
        <v>34.849750528060845</v>
      </c>
      <c r="J109">
        <v>0.7</v>
      </c>
      <c r="K109">
        <f t="shared" si="102"/>
        <v>325401500.70567918</v>
      </c>
      <c r="L109">
        <f t="shared" si="51"/>
        <v>0.99954245469595193</v>
      </c>
      <c r="N109">
        <v>7</v>
      </c>
      <c r="O109">
        <f t="shared" si="56"/>
        <v>4590752.5318908896</v>
      </c>
      <c r="P109">
        <f t="shared" si="52"/>
        <v>0.96808137898489999</v>
      </c>
      <c r="R109">
        <f t="shared" si="57"/>
        <v>4590752.5318908896</v>
      </c>
      <c r="S109">
        <f t="shared" si="53"/>
        <v>0.96808137898489999</v>
      </c>
      <c r="AW109" s="26">
        <v>160</v>
      </c>
      <c r="AX109" s="8" t="str">
        <f t="shared" si="101"/>
        <v>0</v>
      </c>
      <c r="AY109" s="8" t="str">
        <f t="shared" si="103"/>
        <v>0</v>
      </c>
      <c r="AZ109" s="8">
        <f t="shared" si="103"/>
        <v>1</v>
      </c>
      <c r="BA109" s="8" t="str">
        <f t="shared" si="103"/>
        <v>0</v>
      </c>
      <c r="BB109" s="8" t="str">
        <f t="shared" si="103"/>
        <v>0</v>
      </c>
      <c r="BC109" s="8" t="str">
        <f t="shared" si="103"/>
        <v>0</v>
      </c>
      <c r="BD109" s="8" t="str">
        <f t="shared" si="103"/>
        <v>0</v>
      </c>
      <c r="BE109" s="8" t="str">
        <f t="shared" si="103"/>
        <v>0</v>
      </c>
      <c r="BF109" s="8" t="str">
        <f t="shared" si="103"/>
        <v>0</v>
      </c>
      <c r="BG109" s="8" t="str">
        <f t="shared" si="103"/>
        <v>0</v>
      </c>
      <c r="BH109" s="8" t="str">
        <f t="shared" si="103"/>
        <v>0</v>
      </c>
      <c r="BI109" s="8" t="str">
        <f t="shared" si="103"/>
        <v>0</v>
      </c>
      <c r="BJ109" s="8" t="str">
        <f t="shared" si="103"/>
        <v>0</v>
      </c>
      <c r="BK109" s="8" t="str">
        <f t="shared" si="103"/>
        <v>0</v>
      </c>
      <c r="BL109" s="8" t="str">
        <f t="shared" si="103"/>
        <v>0</v>
      </c>
      <c r="BM109" s="8" t="str">
        <f t="shared" si="103"/>
        <v>0</v>
      </c>
      <c r="BN109" s="8" t="str">
        <f t="shared" si="103"/>
        <v>0</v>
      </c>
      <c r="BO109" s="8" t="str">
        <f t="shared" si="103"/>
        <v>0</v>
      </c>
      <c r="BP109" s="8" t="str">
        <f t="shared" si="103"/>
        <v>0</v>
      </c>
      <c r="BQ109" s="8" t="str">
        <f t="shared" si="103"/>
        <v>0</v>
      </c>
      <c r="BT109" s="26">
        <v>160</v>
      </c>
      <c r="BU109" s="8" t="str">
        <v>Si</v>
      </c>
      <c r="BV109" s="8" t="str">
        <v>Si</v>
      </c>
      <c r="BW109" s="8" t="str">
        <v>GaN</v>
      </c>
      <c r="BX109" s="8" t="str">
        <v>GaN</v>
      </c>
      <c r="BY109" s="8" t="str">
        <v>GaN</v>
      </c>
      <c r="BZ109" s="8" t="str">
        <v>GaN</v>
      </c>
      <c r="CA109" s="8" t="str">
        <v>GaN</v>
      </c>
      <c r="CB109" s="8" t="str">
        <v>GaN</v>
      </c>
      <c r="CC109" s="8" t="str">
        <v>GaN</v>
      </c>
      <c r="CD109" s="8" t="str">
        <v>GaN</v>
      </c>
      <c r="CE109" s="8" t="str">
        <v>GaN</v>
      </c>
      <c r="CF109" s="8" t="str">
        <v>GaN</v>
      </c>
      <c r="CG109" s="8" t="str">
        <v>GaN</v>
      </c>
      <c r="CH109" s="8" t="str">
        <v>GaN</v>
      </c>
      <c r="CI109" s="8" t="str">
        <v>GaN</v>
      </c>
      <c r="CJ109" s="8" t="str">
        <v>GaN</v>
      </c>
      <c r="CK109" s="8" t="str">
        <v>GaN</v>
      </c>
      <c r="CL109" s="8" t="str">
        <v>GaN</v>
      </c>
      <c r="CM109" s="8" t="str">
        <v>GaN</v>
      </c>
      <c r="CN109" s="8" t="str">
        <v>GaN</v>
      </c>
    </row>
    <row r="110" spans="6:92" x14ac:dyDescent="0.3">
      <c r="F110">
        <v>60</v>
      </c>
      <c r="G110">
        <f t="shared" si="54"/>
        <v>333</v>
      </c>
      <c r="H110">
        <f t="shared" si="50"/>
        <v>34.849750528060845</v>
      </c>
      <c r="J110">
        <v>0.8</v>
      </c>
      <c r="K110">
        <f t="shared" si="102"/>
        <v>196910597.64185718</v>
      </c>
      <c r="L110">
        <f t="shared" si="51"/>
        <v>0.9992440036077489</v>
      </c>
      <c r="N110">
        <v>8</v>
      </c>
      <c r="O110">
        <f t="shared" si="56"/>
        <v>2330427.3622312453</v>
      </c>
      <c r="P110">
        <f t="shared" si="52"/>
        <v>0.93809651362480573</v>
      </c>
      <c r="R110">
        <f t="shared" si="57"/>
        <v>2330427.3622312453</v>
      </c>
      <c r="S110">
        <f t="shared" si="53"/>
        <v>0.93809651362480573</v>
      </c>
      <c r="AW110" s="26">
        <v>170</v>
      </c>
      <c r="AX110" s="8" t="str">
        <f t="shared" si="101"/>
        <v>0</v>
      </c>
      <c r="AY110" s="8" t="str">
        <f t="shared" si="103"/>
        <v>0</v>
      </c>
      <c r="AZ110" s="8" t="str">
        <f t="shared" si="103"/>
        <v>0</v>
      </c>
      <c r="BA110" s="8" t="str">
        <f t="shared" si="103"/>
        <v>0</v>
      </c>
      <c r="BB110" s="8" t="str">
        <f t="shared" si="103"/>
        <v>0</v>
      </c>
      <c r="BC110" s="8" t="str">
        <f t="shared" si="103"/>
        <v>0</v>
      </c>
      <c r="BD110" s="8" t="str">
        <f t="shared" si="103"/>
        <v>0</v>
      </c>
      <c r="BE110" s="8" t="str">
        <f t="shared" si="103"/>
        <v>0</v>
      </c>
      <c r="BF110" s="8" t="str">
        <f t="shared" si="103"/>
        <v>0</v>
      </c>
      <c r="BG110" s="8" t="str">
        <f t="shared" si="103"/>
        <v>0</v>
      </c>
      <c r="BH110" s="8" t="str">
        <f t="shared" si="103"/>
        <v>0</v>
      </c>
      <c r="BI110" s="8" t="str">
        <f t="shared" si="103"/>
        <v>0</v>
      </c>
      <c r="BJ110" s="8" t="str">
        <f t="shared" si="103"/>
        <v>0</v>
      </c>
      <c r="BK110" s="8" t="str">
        <f t="shared" si="103"/>
        <v>0</v>
      </c>
      <c r="BL110" s="8" t="str">
        <f t="shared" si="103"/>
        <v>0</v>
      </c>
      <c r="BM110" s="8" t="str">
        <f t="shared" si="103"/>
        <v>0</v>
      </c>
      <c r="BN110" s="8" t="str">
        <f t="shared" si="103"/>
        <v>0</v>
      </c>
      <c r="BO110" s="8" t="str">
        <f t="shared" si="103"/>
        <v>0</v>
      </c>
      <c r="BP110" s="8" t="str">
        <f t="shared" si="103"/>
        <v>0</v>
      </c>
      <c r="BQ110" s="8" t="str">
        <f t="shared" si="103"/>
        <v>0</v>
      </c>
      <c r="BT110" s="26">
        <v>170</v>
      </c>
      <c r="BU110" s="8" t="str">
        <v>Si</v>
      </c>
      <c r="BV110" s="8" t="str">
        <v>Si</v>
      </c>
      <c r="BW110" s="8" t="str">
        <v>GaN</v>
      </c>
      <c r="BX110" s="8" t="str">
        <v>GaN</v>
      </c>
      <c r="BY110" s="8" t="str">
        <v>GaN</v>
      </c>
      <c r="BZ110" s="8" t="str">
        <v>GaN</v>
      </c>
      <c r="CA110" s="8" t="str">
        <v>GaN</v>
      </c>
      <c r="CB110" s="8" t="str">
        <v>GaN</v>
      </c>
      <c r="CC110" s="8" t="str">
        <v>GaN</v>
      </c>
      <c r="CD110" s="8" t="str">
        <v>GaN</v>
      </c>
      <c r="CE110" s="8" t="str">
        <v>GaN</v>
      </c>
      <c r="CF110" s="8" t="str">
        <v>GaN</v>
      </c>
      <c r="CG110" s="8" t="str">
        <v>GaN</v>
      </c>
      <c r="CH110" s="8" t="str">
        <v>GaN</v>
      </c>
      <c r="CI110" s="8" t="str">
        <v>GaN</v>
      </c>
      <c r="CJ110" s="8" t="str">
        <v>GaN</v>
      </c>
      <c r="CK110" s="8" t="str">
        <v>GaN</v>
      </c>
      <c r="CL110" s="8" t="str">
        <v>GaN</v>
      </c>
      <c r="CM110" s="8" t="str">
        <v>GaN</v>
      </c>
      <c r="CN110" s="8" t="str">
        <v>GaN</v>
      </c>
    </row>
    <row r="111" spans="6:92" x14ac:dyDescent="0.3">
      <c r="F111">
        <v>60</v>
      </c>
      <c r="G111">
        <f t="shared" si="54"/>
        <v>333</v>
      </c>
      <c r="H111">
        <f t="shared" si="50"/>
        <v>34.849750528060845</v>
      </c>
      <c r="J111">
        <v>0.9</v>
      </c>
      <c r="K111">
        <f t="shared" si="102"/>
        <v>119156744.45135297</v>
      </c>
      <c r="L111">
        <f t="shared" si="51"/>
        <v>0.99875099827001246</v>
      </c>
      <c r="N111">
        <v>9</v>
      </c>
      <c r="O111">
        <f t="shared" si="56"/>
        <v>1281485.6677349817</v>
      </c>
      <c r="P111">
        <f t="shared" si="52"/>
        <v>0.89028925011133186</v>
      </c>
      <c r="R111">
        <f t="shared" si="57"/>
        <v>1281485.6677349817</v>
      </c>
      <c r="S111">
        <f t="shared" si="53"/>
        <v>0.89028925011133186</v>
      </c>
      <c r="AW111" s="26">
        <v>180</v>
      </c>
      <c r="AX111" s="8" t="str">
        <f t="shared" si="101"/>
        <v>0</v>
      </c>
      <c r="AY111" s="8" t="str">
        <f t="shared" si="103"/>
        <v>0</v>
      </c>
      <c r="AZ111" s="8" t="str">
        <f t="shared" si="103"/>
        <v>0</v>
      </c>
      <c r="BA111" s="8" t="str">
        <f t="shared" si="103"/>
        <v>0</v>
      </c>
      <c r="BB111" s="8" t="str">
        <f t="shared" si="103"/>
        <v>0</v>
      </c>
      <c r="BC111" s="8" t="str">
        <f t="shared" si="103"/>
        <v>0</v>
      </c>
      <c r="BD111" s="8" t="str">
        <f t="shared" si="103"/>
        <v>0</v>
      </c>
      <c r="BE111" s="8" t="str">
        <f t="shared" si="103"/>
        <v>0</v>
      </c>
      <c r="BF111" s="8" t="str">
        <f t="shared" si="103"/>
        <v>0</v>
      </c>
      <c r="BG111" s="8" t="str">
        <f t="shared" si="103"/>
        <v>0</v>
      </c>
      <c r="BH111" s="8" t="str">
        <f t="shared" si="103"/>
        <v>0</v>
      </c>
      <c r="BI111" s="8" t="str">
        <f t="shared" si="103"/>
        <v>0</v>
      </c>
      <c r="BJ111" s="8" t="str">
        <f t="shared" si="103"/>
        <v>0</v>
      </c>
      <c r="BK111" s="8" t="str">
        <f t="shared" si="103"/>
        <v>0</v>
      </c>
      <c r="BL111" s="8" t="str">
        <f t="shared" si="103"/>
        <v>0</v>
      </c>
      <c r="BM111" s="8" t="str">
        <f t="shared" si="103"/>
        <v>0</v>
      </c>
      <c r="BN111" s="8" t="str">
        <f t="shared" si="103"/>
        <v>0</v>
      </c>
      <c r="BO111" s="8" t="str">
        <f t="shared" si="103"/>
        <v>0</v>
      </c>
      <c r="BP111" s="8" t="str">
        <f t="shared" si="103"/>
        <v>0</v>
      </c>
      <c r="BQ111" s="8" t="str">
        <f t="shared" si="103"/>
        <v>0</v>
      </c>
      <c r="BT111" s="26">
        <v>180</v>
      </c>
      <c r="BU111" s="8" t="str">
        <v>Si</v>
      </c>
      <c r="BV111" s="8" t="str">
        <v>Si</v>
      </c>
      <c r="BW111" s="8" t="str">
        <v>GaN</v>
      </c>
      <c r="BX111" s="8" t="str">
        <v>GaN</v>
      </c>
      <c r="BY111" s="8" t="str">
        <v>GaN</v>
      </c>
      <c r="BZ111" s="8" t="str">
        <v>GaN</v>
      </c>
      <c r="CA111" s="8" t="str">
        <v>GaN</v>
      </c>
      <c r="CB111" s="8" t="str">
        <v>GaN</v>
      </c>
      <c r="CC111" s="8" t="str">
        <v>GaN</v>
      </c>
      <c r="CD111" s="8" t="str">
        <v>GaN</v>
      </c>
      <c r="CE111" s="8" t="str">
        <v>GaN</v>
      </c>
      <c r="CF111" s="8" t="str">
        <v>GaN</v>
      </c>
      <c r="CG111" s="8" t="str">
        <v>GaN</v>
      </c>
      <c r="CH111" s="8" t="str">
        <v>GaN</v>
      </c>
      <c r="CI111" s="8" t="str">
        <v>GaN</v>
      </c>
      <c r="CJ111" s="8" t="str">
        <v>GaN</v>
      </c>
      <c r="CK111" s="8" t="str">
        <v>GaN</v>
      </c>
      <c r="CL111" s="8" t="str">
        <v>GaN</v>
      </c>
      <c r="CM111" s="8" t="str">
        <v>GaN</v>
      </c>
      <c r="CN111" s="8" t="str">
        <v>GaN</v>
      </c>
    </row>
    <row r="112" spans="6:92" x14ac:dyDescent="0.3">
      <c r="F112">
        <v>60</v>
      </c>
      <c r="G112">
        <f t="shared" si="54"/>
        <v>333</v>
      </c>
      <c r="H112">
        <f t="shared" si="50"/>
        <v>34.849750528060845</v>
      </c>
      <c r="J112">
        <v>1</v>
      </c>
      <c r="K112">
        <f t="shared" si="102"/>
        <v>72105462.673314825</v>
      </c>
      <c r="L112">
        <f t="shared" si="51"/>
        <v>0.99793682312748089</v>
      </c>
      <c r="N112">
        <v>10</v>
      </c>
      <c r="O112">
        <f t="shared" si="56"/>
        <v>750558.71277911926</v>
      </c>
      <c r="P112">
        <f t="shared" si="52"/>
        <v>0.82003177230327629</v>
      </c>
      <c r="R112">
        <f t="shared" si="57"/>
        <v>750558.71277911926</v>
      </c>
      <c r="S112">
        <f t="shared" si="53"/>
        <v>0.82003177230327629</v>
      </c>
      <c r="AW112" s="26">
        <v>190</v>
      </c>
      <c r="AX112" s="8" t="str">
        <f t="shared" si="101"/>
        <v>0</v>
      </c>
      <c r="AY112" s="8" t="str">
        <f t="shared" si="103"/>
        <v>0</v>
      </c>
      <c r="AZ112" s="8" t="str">
        <f t="shared" si="103"/>
        <v>0</v>
      </c>
      <c r="BA112" s="8" t="str">
        <f t="shared" si="103"/>
        <v>0</v>
      </c>
      <c r="BB112" s="8" t="str">
        <f t="shared" si="103"/>
        <v>0</v>
      </c>
      <c r="BC112" s="8" t="str">
        <f t="shared" si="103"/>
        <v>0</v>
      </c>
      <c r="BD112" s="8" t="str">
        <f t="shared" si="103"/>
        <v>0</v>
      </c>
      <c r="BE112" s="8" t="str">
        <f t="shared" si="103"/>
        <v>0</v>
      </c>
      <c r="BF112" s="8" t="str">
        <f t="shared" si="103"/>
        <v>0</v>
      </c>
      <c r="BG112" s="8" t="str">
        <f t="shared" si="103"/>
        <v>0</v>
      </c>
      <c r="BH112" s="8" t="str">
        <f t="shared" si="103"/>
        <v>0</v>
      </c>
      <c r="BI112" s="8" t="str">
        <f t="shared" si="103"/>
        <v>0</v>
      </c>
      <c r="BJ112" s="8" t="str">
        <f t="shared" si="103"/>
        <v>0</v>
      </c>
      <c r="BK112" s="8" t="str">
        <f t="shared" si="103"/>
        <v>0</v>
      </c>
      <c r="BL112" s="8" t="str">
        <f t="shared" si="103"/>
        <v>0</v>
      </c>
      <c r="BM112" s="8" t="str">
        <f t="shared" si="103"/>
        <v>0</v>
      </c>
      <c r="BN112" s="8" t="str">
        <f t="shared" si="103"/>
        <v>0</v>
      </c>
      <c r="BO112" s="8" t="str">
        <f t="shared" si="103"/>
        <v>0</v>
      </c>
      <c r="BP112" s="8" t="str">
        <f t="shared" si="103"/>
        <v>0</v>
      </c>
      <c r="BQ112" s="8" t="str">
        <f t="shared" si="103"/>
        <v>0</v>
      </c>
      <c r="BT112" s="26">
        <v>190</v>
      </c>
      <c r="BU112" s="8" t="str">
        <v>Si</v>
      </c>
      <c r="BV112" s="8" t="str">
        <v>Si</v>
      </c>
      <c r="BW112" s="8" t="str">
        <v>GaN</v>
      </c>
      <c r="BX112" s="8" t="str">
        <v>GaN</v>
      </c>
      <c r="BY112" s="8" t="str">
        <v>GaN</v>
      </c>
      <c r="BZ112" s="8" t="str">
        <v>GaN</v>
      </c>
      <c r="CA112" s="8" t="str">
        <v>GaN</v>
      </c>
      <c r="CB112" s="8" t="str">
        <v>GaN</v>
      </c>
      <c r="CC112" s="8" t="str">
        <v>GaN</v>
      </c>
      <c r="CD112" s="8" t="str">
        <v>GaN</v>
      </c>
      <c r="CE112" s="8" t="str">
        <v>GaN</v>
      </c>
      <c r="CF112" s="8" t="str">
        <v>GaN</v>
      </c>
      <c r="CG112" s="8" t="str">
        <v>GaN</v>
      </c>
      <c r="CH112" s="8" t="str">
        <v>GaN</v>
      </c>
      <c r="CI112" s="8" t="str">
        <v>GaN</v>
      </c>
      <c r="CJ112" s="8" t="str">
        <v>GaN</v>
      </c>
      <c r="CK112" s="8" t="str">
        <v>GaN</v>
      </c>
      <c r="CL112" s="8" t="str">
        <v>GaN</v>
      </c>
      <c r="CM112" s="8" t="str">
        <v>GaN</v>
      </c>
      <c r="CN112" s="8" t="str">
        <v>GaN</v>
      </c>
    </row>
    <row r="113" spans="6:92" x14ac:dyDescent="0.3">
      <c r="F113">
        <v>60</v>
      </c>
      <c r="G113">
        <f t="shared" si="54"/>
        <v>333</v>
      </c>
      <c r="H113">
        <f t="shared" si="50"/>
        <v>34.849750528060845</v>
      </c>
      <c r="J113">
        <v>1.1000000000000001</v>
      </c>
      <c r="K113">
        <f t="shared" si="102"/>
        <v>43633264.497717313</v>
      </c>
      <c r="L113">
        <f t="shared" si="51"/>
        <v>0.9965928252408538</v>
      </c>
      <c r="N113">
        <v>11</v>
      </c>
      <c r="O113">
        <f t="shared" si="56"/>
        <v>462612.59345206164</v>
      </c>
      <c r="P113">
        <f t="shared" si="52"/>
        <v>0.72476282070047116</v>
      </c>
      <c r="R113">
        <f t="shared" si="57"/>
        <v>462612.59345206164</v>
      </c>
      <c r="S113">
        <f t="shared" si="53"/>
        <v>0.72476282070047116</v>
      </c>
      <c r="AW113" s="26">
        <v>200</v>
      </c>
      <c r="AX113" s="8" t="str">
        <f t="shared" si="101"/>
        <v>0</v>
      </c>
      <c r="AY113" s="8">
        <f t="shared" si="103"/>
        <v>1</v>
      </c>
      <c r="AZ113" s="8" t="str">
        <f t="shared" si="103"/>
        <v>0</v>
      </c>
      <c r="BA113" s="8" t="str">
        <f t="shared" si="103"/>
        <v>0</v>
      </c>
      <c r="BB113" s="8" t="str">
        <f t="shared" si="103"/>
        <v>0</v>
      </c>
      <c r="BC113" s="8" t="str">
        <f t="shared" si="103"/>
        <v>0</v>
      </c>
      <c r="BD113" s="8" t="str">
        <f t="shared" si="103"/>
        <v>0</v>
      </c>
      <c r="BE113" s="8" t="str">
        <f t="shared" si="103"/>
        <v>0</v>
      </c>
      <c r="BF113" s="8" t="str">
        <f t="shared" si="103"/>
        <v>0</v>
      </c>
      <c r="BG113" s="8" t="str">
        <f t="shared" si="103"/>
        <v>0</v>
      </c>
      <c r="BH113" s="8" t="str">
        <f t="shared" si="103"/>
        <v>0</v>
      </c>
      <c r="BI113" s="8" t="str">
        <f t="shared" si="103"/>
        <v>0</v>
      </c>
      <c r="BJ113" s="8" t="str">
        <f t="shared" si="103"/>
        <v>0</v>
      </c>
      <c r="BK113" s="8" t="str">
        <f t="shared" si="103"/>
        <v>0</v>
      </c>
      <c r="BL113" s="8" t="str">
        <f t="shared" si="103"/>
        <v>0</v>
      </c>
      <c r="BM113" s="8" t="str">
        <f t="shared" si="103"/>
        <v>0</v>
      </c>
      <c r="BN113" s="8" t="str">
        <f t="shared" si="103"/>
        <v>0</v>
      </c>
      <c r="BO113" s="8" t="str">
        <f t="shared" si="103"/>
        <v>0</v>
      </c>
      <c r="BP113" s="8" t="str">
        <f t="shared" si="103"/>
        <v>0</v>
      </c>
      <c r="BQ113" s="8" t="str">
        <f t="shared" si="103"/>
        <v>0</v>
      </c>
      <c r="BT113" s="26">
        <v>200</v>
      </c>
      <c r="BU113" s="8" t="str">
        <v>Si</v>
      </c>
      <c r="BV113" s="8" t="str">
        <v>Si</v>
      </c>
      <c r="BW113" s="8" t="str">
        <v>GaN</v>
      </c>
      <c r="BX113" s="8" t="str">
        <v>GaN</v>
      </c>
      <c r="BY113" s="8" t="str">
        <v>GaN</v>
      </c>
      <c r="BZ113" s="8" t="str">
        <v>GaN</v>
      </c>
      <c r="CA113" s="8" t="str">
        <v>GaN</v>
      </c>
      <c r="CB113" s="8" t="str">
        <v>GaN</v>
      </c>
      <c r="CC113" s="8" t="str">
        <v>GaN</v>
      </c>
      <c r="CD113" s="8" t="str">
        <v>GaN</v>
      </c>
      <c r="CE113" s="8" t="str">
        <v>GaN</v>
      </c>
      <c r="CF113" s="8" t="str">
        <v>GaN</v>
      </c>
      <c r="CG113" s="8" t="str">
        <v>GaN</v>
      </c>
      <c r="CH113" s="8" t="str">
        <v>GaN</v>
      </c>
      <c r="CI113" s="8" t="str">
        <v>GaN</v>
      </c>
      <c r="CJ113" s="8" t="str">
        <v>GaN</v>
      </c>
      <c r="CK113" s="8" t="str">
        <v>GaN</v>
      </c>
      <c r="CL113" s="8" t="str">
        <v>GaN</v>
      </c>
      <c r="CM113" s="8" t="str">
        <v>GaN</v>
      </c>
      <c r="CN113" s="8" t="str">
        <v>GaN</v>
      </c>
    </row>
    <row r="114" spans="6:92" x14ac:dyDescent="0.3">
      <c r="F114">
        <v>60</v>
      </c>
      <c r="G114">
        <f t="shared" si="54"/>
        <v>333</v>
      </c>
      <c r="H114">
        <f t="shared" si="50"/>
        <v>34.849750528060845</v>
      </c>
      <c r="J114">
        <v>1.2</v>
      </c>
      <c r="K114">
        <f t="shared" si="102"/>
        <v>26403849.308248751</v>
      </c>
      <c r="L114">
        <f t="shared" si="51"/>
        <v>0.99437578870280374</v>
      </c>
      <c r="N114">
        <v>12</v>
      </c>
      <c r="O114">
        <f t="shared" si="56"/>
        <v>297406.05901364039</v>
      </c>
      <c r="P114">
        <f t="shared" si="52"/>
        <v>0.60608833091536718</v>
      </c>
      <c r="R114">
        <f t="shared" si="57"/>
        <v>297406.05901364039</v>
      </c>
      <c r="S114">
        <f t="shared" si="53"/>
        <v>0.60608833091536718</v>
      </c>
    </row>
    <row r="115" spans="6:92" x14ac:dyDescent="0.3">
      <c r="F115">
        <v>60</v>
      </c>
      <c r="G115">
        <f t="shared" si="54"/>
        <v>333</v>
      </c>
      <c r="H115">
        <f t="shared" si="50"/>
        <v>34.849750528060845</v>
      </c>
      <c r="J115">
        <v>1.3</v>
      </c>
      <c r="K115">
        <f t="shared" si="102"/>
        <v>15977792.776178358</v>
      </c>
      <c r="L115">
        <f t="shared" si="51"/>
        <v>0.99072286432171863</v>
      </c>
      <c r="N115">
        <v>13</v>
      </c>
      <c r="O115">
        <f t="shared" si="56"/>
        <v>198083.67910498651</v>
      </c>
      <c r="P115">
        <f t="shared" si="52"/>
        <v>0.47151541513613104</v>
      </c>
      <c r="R115">
        <f t="shared" si="57"/>
        <v>198083.67910498651</v>
      </c>
      <c r="S115">
        <f t="shared" si="53"/>
        <v>0.47151541513613104</v>
      </c>
    </row>
    <row r="116" spans="6:92" x14ac:dyDescent="0.3">
      <c r="F116">
        <v>60</v>
      </c>
      <c r="G116">
        <f t="shared" si="54"/>
        <v>333</v>
      </c>
      <c r="H116">
        <f t="shared" si="50"/>
        <v>34.849750528060845</v>
      </c>
      <c r="J116">
        <v>1.4</v>
      </c>
      <c r="K116">
        <f t="shared" si="102"/>
        <v>9668660.7705620956</v>
      </c>
      <c r="L116">
        <f t="shared" si="51"/>
        <v>0.98471566944257716</v>
      </c>
      <c r="N116">
        <v>14</v>
      </c>
      <c r="O116">
        <f t="shared" si="56"/>
        <v>135967.20886049699</v>
      </c>
      <c r="P116">
        <f t="shared" si="52"/>
        <v>0.33445127320328638</v>
      </c>
      <c r="R116">
        <f t="shared" si="57"/>
        <v>135967.20886049699</v>
      </c>
      <c r="S116">
        <f t="shared" si="53"/>
        <v>0.33445127320328638</v>
      </c>
    </row>
    <row r="117" spans="6:92" x14ac:dyDescent="0.3">
      <c r="F117">
        <v>60</v>
      </c>
      <c r="G117">
        <f t="shared" si="54"/>
        <v>333</v>
      </c>
      <c r="H117">
        <f t="shared" si="50"/>
        <v>34.849750528060845</v>
      </c>
      <c r="J117">
        <v>1.5</v>
      </c>
      <c r="K117">
        <f t="shared" si="102"/>
        <v>5850808.2064740518</v>
      </c>
      <c r="L117">
        <f t="shared" si="51"/>
        <v>0.9748683002125309</v>
      </c>
      <c r="N117">
        <v>15</v>
      </c>
      <c r="O117">
        <f t="shared" si="56"/>
        <v>95785.310644597383</v>
      </c>
      <c r="P117">
        <f t="shared" si="52"/>
        <v>0.21124706431758003</v>
      </c>
      <c r="R117">
        <f t="shared" si="57"/>
        <v>95785.310644597383</v>
      </c>
      <c r="S117">
        <f t="shared" si="53"/>
        <v>0.21124706431758003</v>
      </c>
    </row>
    <row r="118" spans="6:92" x14ac:dyDescent="0.3">
      <c r="F118">
        <v>60</v>
      </c>
      <c r="G118">
        <f t="shared" si="54"/>
        <v>333</v>
      </c>
      <c r="H118">
        <f t="shared" si="50"/>
        <v>34.849750528060845</v>
      </c>
      <c r="J118">
        <v>1.6</v>
      </c>
      <c r="K118">
        <f t="shared" si="102"/>
        <v>3540506.537696437</v>
      </c>
      <c r="L118">
        <f t="shared" si="51"/>
        <v>0.95881054534386978</v>
      </c>
      <c r="N118">
        <v>16</v>
      </c>
      <c r="O118">
        <f t="shared" si="56"/>
        <v>69021.734823114035</v>
      </c>
      <c r="P118">
        <f t="shared" si="52"/>
        <v>0.11560440279506168</v>
      </c>
      <c r="R118">
        <f t="shared" si="57"/>
        <v>69021.734823114035</v>
      </c>
      <c r="S118">
        <f t="shared" si="53"/>
        <v>0.11560440279506168</v>
      </c>
      <c r="AW118" t="s">
        <v>122</v>
      </c>
      <c r="AX118" t="s">
        <v>123</v>
      </c>
      <c r="AY118" t="s">
        <v>124</v>
      </c>
    </row>
    <row r="119" spans="6:92" x14ac:dyDescent="0.3">
      <c r="F119">
        <v>60</v>
      </c>
      <c r="G119">
        <f t="shared" si="54"/>
        <v>333</v>
      </c>
      <c r="H119">
        <f t="shared" si="50"/>
        <v>34.849750528060845</v>
      </c>
      <c r="J119">
        <v>1.7</v>
      </c>
      <c r="K119">
        <f t="shared" si="102"/>
        <v>2142470.9375365861</v>
      </c>
      <c r="L119">
        <f t="shared" si="51"/>
        <v>0.93285217848839408</v>
      </c>
      <c r="N119">
        <v>17</v>
      </c>
      <c r="O119">
        <f t="shared" si="56"/>
        <v>50734.492139641647</v>
      </c>
      <c r="P119">
        <f t="shared" si="52"/>
        <v>5.3115782063068266E-2</v>
      </c>
      <c r="R119">
        <f t="shared" si="57"/>
        <v>50734.492139641647</v>
      </c>
      <c r="S119">
        <f t="shared" si="53"/>
        <v>5.3115782063068266E-2</v>
      </c>
      <c r="AW119">
        <v>200</v>
      </c>
      <c r="AX119">
        <v>2</v>
      </c>
      <c r="AY119">
        <v>200</v>
      </c>
    </row>
    <row r="120" spans="6:92" x14ac:dyDescent="0.3">
      <c r="F120">
        <v>60</v>
      </c>
      <c r="G120">
        <f t="shared" si="54"/>
        <v>333</v>
      </c>
      <c r="H120">
        <f t="shared" si="50"/>
        <v>34.849750528060845</v>
      </c>
      <c r="J120">
        <v>1.8</v>
      </c>
      <c r="K120">
        <f t="shared" si="102"/>
        <v>1296475.9898947692</v>
      </c>
      <c r="L120">
        <f t="shared" si="51"/>
        <v>0.89148629019740533</v>
      </c>
      <c r="N120">
        <v>18</v>
      </c>
      <c r="O120">
        <f t="shared" si="56"/>
        <v>37954.56806400499</v>
      </c>
      <c r="P120">
        <f t="shared" si="52"/>
        <v>1.9769036444388988E-2</v>
      </c>
      <c r="R120">
        <f t="shared" si="57"/>
        <v>37954.56806400499</v>
      </c>
      <c r="S120">
        <f t="shared" si="53"/>
        <v>1.9769036444388988E-2</v>
      </c>
      <c r="AW120">
        <v>160</v>
      </c>
      <c r="AX120">
        <v>3</v>
      </c>
      <c r="AY120">
        <v>200</v>
      </c>
    </row>
    <row r="121" spans="6:92" x14ac:dyDescent="0.3">
      <c r="F121">
        <v>60</v>
      </c>
      <c r="G121">
        <f t="shared" si="54"/>
        <v>333</v>
      </c>
      <c r="H121">
        <f t="shared" si="50"/>
        <v>34.849750528060845</v>
      </c>
      <c r="J121">
        <v>1.9</v>
      </c>
      <c r="K121">
        <f t="shared" si="102"/>
        <v>784538.05973502214</v>
      </c>
      <c r="L121">
        <f t="shared" si="51"/>
        <v>0.82710906953248819</v>
      </c>
      <c r="N121">
        <v>19</v>
      </c>
      <c r="O121">
        <f t="shared" si="56"/>
        <v>28843.046977058715</v>
      </c>
      <c r="P121">
        <f t="shared" si="52"/>
        <v>5.7238358662303132E-3</v>
      </c>
      <c r="R121">
        <f t="shared" si="57"/>
        <v>28843.046977058715</v>
      </c>
      <c r="S121">
        <f t="shared" si="53"/>
        <v>5.7238358662303132E-3</v>
      </c>
      <c r="AW121">
        <v>100</v>
      </c>
      <c r="AX121">
        <v>4</v>
      </c>
      <c r="AY121">
        <v>200</v>
      </c>
    </row>
    <row r="122" spans="6:92" x14ac:dyDescent="0.3">
      <c r="F122">
        <v>60</v>
      </c>
      <c r="G122">
        <f t="shared" si="54"/>
        <v>333</v>
      </c>
      <c r="H122">
        <f t="shared" si="50"/>
        <v>34.849750528060845</v>
      </c>
      <c r="J122">
        <v>2</v>
      </c>
      <c r="K122">
        <f t="shared" si="102"/>
        <v>474748.45039185754</v>
      </c>
      <c r="L122">
        <f t="shared" si="51"/>
        <v>0.73075143697812628</v>
      </c>
      <c r="N122">
        <v>20</v>
      </c>
      <c r="O122">
        <f t="shared" si="56"/>
        <v>22229.770076600151</v>
      </c>
      <c r="P122">
        <f t="shared" si="52"/>
        <v>1.2319898910375336E-3</v>
      </c>
      <c r="R122">
        <f t="shared" si="57"/>
        <v>22229.770076600151</v>
      </c>
      <c r="S122">
        <f t="shared" si="53"/>
        <v>1.2319898910375336E-3</v>
      </c>
      <c r="AW122">
        <v>70</v>
      </c>
      <c r="AX122">
        <v>5</v>
      </c>
      <c r="AY122">
        <v>200</v>
      </c>
    </row>
    <row r="123" spans="6:92" x14ac:dyDescent="0.3">
      <c r="F123">
        <v>70</v>
      </c>
      <c r="G123">
        <f t="shared" si="54"/>
        <v>343</v>
      </c>
      <c r="H123">
        <f t="shared" si="50"/>
        <v>33.833722815872484</v>
      </c>
      <c r="J123">
        <v>0.1</v>
      </c>
      <c r="K123">
        <f t="shared" si="102"/>
        <v>3885857062.8530273</v>
      </c>
      <c r="L123">
        <f t="shared" si="51"/>
        <v>0.99996167714250594</v>
      </c>
      <c r="N123">
        <v>1</v>
      </c>
      <c r="O123">
        <f t="shared" si="56"/>
        <v>62207756269.545097</v>
      </c>
      <c r="P123">
        <f t="shared" si="52"/>
        <v>0.9999976060891651</v>
      </c>
      <c r="R123">
        <f t="shared" si="57"/>
        <v>3885857062.8530273</v>
      </c>
      <c r="S123">
        <f t="shared" si="53"/>
        <v>0.99996167714250594</v>
      </c>
      <c r="AW123">
        <v>10</v>
      </c>
      <c r="AX123">
        <v>8</v>
      </c>
      <c r="AY123">
        <v>200</v>
      </c>
    </row>
    <row r="124" spans="6:92" x14ac:dyDescent="0.3">
      <c r="F124">
        <v>70</v>
      </c>
      <c r="G124">
        <f t="shared" si="54"/>
        <v>343</v>
      </c>
      <c r="H124">
        <f t="shared" si="50"/>
        <v>33.833722815872484</v>
      </c>
      <c r="J124">
        <v>0.2</v>
      </c>
      <c r="K124">
        <f t="shared" si="102"/>
        <v>2351453312.101665</v>
      </c>
      <c r="L124">
        <f t="shared" si="51"/>
        <v>0.99993667095846495</v>
      </c>
      <c r="N124">
        <v>2</v>
      </c>
      <c r="O124">
        <f t="shared" si="56"/>
        <v>1842446294.0850921</v>
      </c>
      <c r="P124">
        <f t="shared" si="52"/>
        <v>0.99991917594437474</v>
      </c>
      <c r="R124">
        <f t="shared" si="57"/>
        <v>1842446294.0850921</v>
      </c>
      <c r="S124">
        <f t="shared" si="53"/>
        <v>0.99991917594437474</v>
      </c>
      <c r="AW124">
        <v>0</v>
      </c>
      <c r="AX124">
        <v>9</v>
      </c>
      <c r="AY124">
        <v>200</v>
      </c>
    </row>
    <row r="125" spans="6:92" x14ac:dyDescent="0.3">
      <c r="F125">
        <v>70</v>
      </c>
      <c r="G125">
        <f t="shared" si="54"/>
        <v>343</v>
      </c>
      <c r="H125">
        <f t="shared" si="50"/>
        <v>33.833722815872484</v>
      </c>
      <c r="J125">
        <v>0.3</v>
      </c>
      <c r="K125">
        <f t="shared" ref="K125:K144" si="104">$C$7*EXP($C$5*H125)*EXP(-$C$6*J125)</f>
        <v>1422937743.0919218</v>
      </c>
      <c r="L125">
        <f t="shared" si="51"/>
        <v>0.99989534875418462</v>
      </c>
      <c r="N125">
        <v>3</v>
      </c>
      <c r="O125">
        <f t="shared" si="56"/>
        <v>235130560.2348837</v>
      </c>
      <c r="P125">
        <f t="shared" si="52"/>
        <v>0.99936685027013961</v>
      </c>
      <c r="R125">
        <f t="shared" si="57"/>
        <v>235130560.2348837</v>
      </c>
      <c r="S125">
        <f t="shared" si="53"/>
        <v>0.99936685027013961</v>
      </c>
      <c r="AW125">
        <v>0</v>
      </c>
      <c r="AX125">
        <v>10</v>
      </c>
      <c r="AY125">
        <v>200</v>
      </c>
    </row>
    <row r="126" spans="6:92" x14ac:dyDescent="0.3">
      <c r="F126">
        <v>70</v>
      </c>
      <c r="G126">
        <f t="shared" si="54"/>
        <v>343</v>
      </c>
      <c r="H126">
        <f t="shared" si="50"/>
        <v>33.833722815872484</v>
      </c>
      <c r="J126">
        <v>0.4</v>
      </c>
      <c r="K126">
        <f t="shared" si="104"/>
        <v>861064011.05019772</v>
      </c>
      <c r="L126">
        <f t="shared" si="51"/>
        <v>0.9998270661401909</v>
      </c>
      <c r="N126">
        <v>4</v>
      </c>
      <c r="O126">
        <f t="shared" si="56"/>
        <v>54568892.211432807</v>
      </c>
      <c r="P126">
        <f t="shared" si="52"/>
        <v>0.997274693047286</v>
      </c>
      <c r="R126">
        <f t="shared" si="57"/>
        <v>54568892.211432807</v>
      </c>
      <c r="S126">
        <f t="shared" si="53"/>
        <v>0.997274693047286</v>
      </c>
      <c r="AW126">
        <v>0</v>
      </c>
      <c r="AX126">
        <v>11</v>
      </c>
      <c r="AY126">
        <v>200</v>
      </c>
    </row>
    <row r="127" spans="6:92" x14ac:dyDescent="0.3">
      <c r="F127">
        <v>70</v>
      </c>
      <c r="G127">
        <f t="shared" si="54"/>
        <v>343</v>
      </c>
      <c r="H127">
        <f t="shared" si="50"/>
        <v>33.833722815872484</v>
      </c>
      <c r="J127">
        <v>0.5</v>
      </c>
      <c r="K127">
        <f t="shared" si="104"/>
        <v>521056690.44577342</v>
      </c>
      <c r="L127">
        <f t="shared" si="51"/>
        <v>0.99971423700375794</v>
      </c>
      <c r="N127">
        <v>5</v>
      </c>
      <c r="O127">
        <f t="shared" si="56"/>
        <v>17574955.632507514</v>
      </c>
      <c r="P127">
        <f t="shared" si="52"/>
        <v>0.99156237714368123</v>
      </c>
      <c r="R127">
        <f t="shared" si="57"/>
        <v>17574955.632507514</v>
      </c>
      <c r="S127">
        <f t="shared" si="53"/>
        <v>0.99156237714368123</v>
      </c>
      <c r="AW127">
        <v>0</v>
      </c>
      <c r="AX127">
        <v>12</v>
      </c>
      <c r="AY127">
        <v>200</v>
      </c>
    </row>
    <row r="128" spans="6:92" x14ac:dyDescent="0.3">
      <c r="F128">
        <v>70</v>
      </c>
      <c r="G128">
        <f t="shared" si="54"/>
        <v>343</v>
      </c>
      <c r="H128">
        <f t="shared" si="50"/>
        <v>33.833722815872484</v>
      </c>
      <c r="J128">
        <v>0.6</v>
      </c>
      <c r="K128">
        <f t="shared" si="104"/>
        <v>315307655.61455435</v>
      </c>
      <c r="L128">
        <f t="shared" si="51"/>
        <v>0.99952781090030363</v>
      </c>
      <c r="N128">
        <v>6</v>
      </c>
      <c r="O128">
        <f t="shared" si="56"/>
        <v>6964009.8809190001</v>
      </c>
      <c r="P128">
        <f t="shared" si="52"/>
        <v>0.97884278999590879</v>
      </c>
      <c r="R128">
        <f t="shared" si="57"/>
        <v>6964009.8809190001</v>
      </c>
      <c r="S128">
        <f t="shared" si="53"/>
        <v>0.97884278999590879</v>
      </c>
      <c r="AW128">
        <v>0</v>
      </c>
      <c r="AX128">
        <v>13</v>
      </c>
      <c r="AY128">
        <v>200</v>
      </c>
    </row>
    <row r="129" spans="6:51" x14ac:dyDescent="0.3">
      <c r="F129">
        <v>70</v>
      </c>
      <c r="G129">
        <f t="shared" si="54"/>
        <v>343</v>
      </c>
      <c r="H129">
        <f t="shared" si="50"/>
        <v>33.833722815872484</v>
      </c>
      <c r="J129">
        <v>0.7</v>
      </c>
      <c r="K129">
        <f t="shared" si="104"/>
        <v>190802497.14113021</v>
      </c>
      <c r="L129">
        <f t="shared" si="51"/>
        <v>0.9992198115756159</v>
      </c>
      <c r="N129">
        <v>7</v>
      </c>
      <c r="O129">
        <f t="shared" si="56"/>
        <v>3183785.122353707</v>
      </c>
      <c r="P129">
        <f t="shared" si="52"/>
        <v>0.95430255573099898</v>
      </c>
      <c r="R129">
        <f t="shared" si="57"/>
        <v>3183785.122353707</v>
      </c>
      <c r="S129">
        <f t="shared" si="53"/>
        <v>0.95430255573099898</v>
      </c>
      <c r="AW129">
        <v>0</v>
      </c>
      <c r="AX129">
        <v>14</v>
      </c>
      <c r="AY129">
        <v>200</v>
      </c>
    </row>
    <row r="130" spans="6:51" x14ac:dyDescent="0.3">
      <c r="F130">
        <v>70</v>
      </c>
      <c r="G130">
        <f t="shared" si="54"/>
        <v>343</v>
      </c>
      <c r="H130">
        <f t="shared" si="50"/>
        <v>33.833722815872484</v>
      </c>
      <c r="J130">
        <v>0.8</v>
      </c>
      <c r="K130">
        <f t="shared" si="104"/>
        <v>115460542.32122651</v>
      </c>
      <c r="L130">
        <f t="shared" si="51"/>
        <v>0.99871104014907564</v>
      </c>
      <c r="N130">
        <v>8</v>
      </c>
      <c r="O130">
        <f t="shared" si="56"/>
        <v>1616201.2465398074</v>
      </c>
      <c r="P130">
        <f t="shared" si="52"/>
        <v>0.9119756484192908</v>
      </c>
      <c r="R130">
        <f t="shared" si="57"/>
        <v>1616201.2465398074</v>
      </c>
      <c r="S130">
        <f t="shared" si="53"/>
        <v>0.9119756484192908</v>
      </c>
      <c r="AW130">
        <v>0</v>
      </c>
      <c r="AX130">
        <v>15</v>
      </c>
      <c r="AY130">
        <v>200</v>
      </c>
    </row>
    <row r="131" spans="6:51" x14ac:dyDescent="0.3">
      <c r="F131">
        <v>70</v>
      </c>
      <c r="G131">
        <f t="shared" si="54"/>
        <v>343</v>
      </c>
      <c r="H131">
        <f t="shared" ref="H131:H194" si="105">1/($B$18*G131)</f>
        <v>33.833722815872484</v>
      </c>
      <c r="J131">
        <v>0.9</v>
      </c>
      <c r="K131">
        <f t="shared" si="104"/>
        <v>69868775.47651352</v>
      </c>
      <c r="L131">
        <f t="shared" ref="L131:L194" si="106">EXP(-$B$22/K131)</f>
        <v>0.99787084565552009</v>
      </c>
      <c r="N131">
        <v>9</v>
      </c>
      <c r="O131">
        <f t="shared" si="56"/>
        <v>888737.73419532075</v>
      </c>
      <c r="P131">
        <f t="shared" ref="P131:P194" si="107">EXP(-$B$22/O131)</f>
        <v>0.84572291724496595</v>
      </c>
      <c r="R131">
        <f t="shared" si="57"/>
        <v>888737.73419532075</v>
      </c>
      <c r="S131">
        <f t="shared" ref="S131:S194" si="108">EXP(-$B$22/R131)</f>
        <v>0.84572291724496595</v>
      </c>
      <c r="AW131">
        <v>0</v>
      </c>
      <c r="AX131">
        <v>16</v>
      </c>
      <c r="AY131">
        <v>200</v>
      </c>
    </row>
    <row r="132" spans="6:51" x14ac:dyDescent="0.3">
      <c r="F132">
        <v>70</v>
      </c>
      <c r="G132">
        <f t="shared" ref="G132:G195" si="109">F132+273</f>
        <v>343</v>
      </c>
      <c r="H132">
        <f t="shared" si="105"/>
        <v>33.833722815872484</v>
      </c>
      <c r="J132">
        <v>1</v>
      </c>
      <c r="K132">
        <f t="shared" si="104"/>
        <v>42279775.310651809</v>
      </c>
      <c r="L132">
        <f t="shared" si="106"/>
        <v>0.99648394439854804</v>
      </c>
      <c r="N132">
        <v>10</v>
      </c>
      <c r="O132">
        <f t="shared" ref="O132:O195" si="110">$C$11*POWER(N132,-$C$10)*EXP($C$9*H132)</f>
        <v>520528.52916792862</v>
      </c>
      <c r="P132">
        <f t="shared" si="107"/>
        <v>0.75119212905312915</v>
      </c>
      <c r="R132">
        <f t="shared" ref="R132:R195" si="111">MIN(K132,O132)</f>
        <v>520528.52916792862</v>
      </c>
      <c r="S132">
        <f t="shared" si="108"/>
        <v>0.75119212905312915</v>
      </c>
      <c r="AW132">
        <v>0</v>
      </c>
      <c r="AX132">
        <v>17</v>
      </c>
      <c r="AY132">
        <v>200</v>
      </c>
    </row>
    <row r="133" spans="6:51" x14ac:dyDescent="0.3">
      <c r="F133">
        <v>70</v>
      </c>
      <c r="G133">
        <f t="shared" si="109"/>
        <v>343</v>
      </c>
      <c r="H133">
        <f t="shared" si="105"/>
        <v>33.833722815872484</v>
      </c>
      <c r="J133">
        <v>1.1000000000000001</v>
      </c>
      <c r="K133">
        <f t="shared" si="104"/>
        <v>25584810.784612905</v>
      </c>
      <c r="L133">
        <f t="shared" si="106"/>
        <v>0.99419626605828104</v>
      </c>
      <c r="N133">
        <v>11</v>
      </c>
      <c r="O133">
        <f t="shared" si="110"/>
        <v>320831.73340634862</v>
      </c>
      <c r="P133">
        <f t="shared" si="107"/>
        <v>0.6286575862593865</v>
      </c>
      <c r="R133">
        <f t="shared" si="111"/>
        <v>320831.73340634862</v>
      </c>
      <c r="S133">
        <f t="shared" si="108"/>
        <v>0.6286575862593865</v>
      </c>
      <c r="AW133">
        <v>0</v>
      </c>
      <c r="AX133">
        <v>18</v>
      </c>
      <c r="AY133">
        <v>200</v>
      </c>
    </row>
    <row r="134" spans="6:51" x14ac:dyDescent="0.3">
      <c r="F134">
        <v>70</v>
      </c>
      <c r="G134">
        <f t="shared" si="109"/>
        <v>343</v>
      </c>
      <c r="H134">
        <f t="shared" si="105"/>
        <v>33.833722815872484</v>
      </c>
      <c r="J134">
        <v>1.2</v>
      </c>
      <c r="K134">
        <f t="shared" si="104"/>
        <v>15482167.018979697</v>
      </c>
      <c r="L134">
        <f t="shared" si="106"/>
        <v>0.99042730425220094</v>
      </c>
      <c r="N134">
        <v>12</v>
      </c>
      <c r="O134">
        <f t="shared" si="110"/>
        <v>206257.46637566341</v>
      </c>
      <c r="P134">
        <f t="shared" si="107"/>
        <v>0.48577475653875579</v>
      </c>
      <c r="R134">
        <f t="shared" si="111"/>
        <v>206257.46637566341</v>
      </c>
      <c r="S134">
        <f t="shared" si="108"/>
        <v>0.48577475653875579</v>
      </c>
      <c r="AW134">
        <v>0</v>
      </c>
      <c r="AX134">
        <v>19</v>
      </c>
      <c r="AY134">
        <v>200</v>
      </c>
    </row>
    <row r="135" spans="6:51" x14ac:dyDescent="0.3">
      <c r="F135">
        <v>70</v>
      </c>
      <c r="G135">
        <f t="shared" si="109"/>
        <v>343</v>
      </c>
      <c r="H135">
        <f t="shared" si="105"/>
        <v>33.833722815872484</v>
      </c>
      <c r="J135">
        <v>1.3</v>
      </c>
      <c r="K135">
        <f t="shared" si="104"/>
        <v>9368742.1658689827</v>
      </c>
      <c r="L135">
        <f t="shared" si="106"/>
        <v>0.98423025509511242</v>
      </c>
      <c r="N135">
        <v>13</v>
      </c>
      <c r="O135">
        <f t="shared" si="110"/>
        <v>137375.27042342673</v>
      </c>
      <c r="P135">
        <f t="shared" si="107"/>
        <v>0.33822703680737609</v>
      </c>
      <c r="R135">
        <f t="shared" si="111"/>
        <v>137375.27042342673</v>
      </c>
      <c r="S135">
        <f t="shared" si="108"/>
        <v>0.33822703680737609</v>
      </c>
      <c r="AW135">
        <v>0</v>
      </c>
      <c r="AX135">
        <v>20</v>
      </c>
      <c r="AY135">
        <v>200</v>
      </c>
    </row>
    <row r="136" spans="6:51" x14ac:dyDescent="0.3">
      <c r="F136">
        <v>70</v>
      </c>
      <c r="G136">
        <f t="shared" si="109"/>
        <v>343</v>
      </c>
      <c r="H136">
        <f t="shared" si="105"/>
        <v>33.833722815872484</v>
      </c>
      <c r="J136">
        <v>1.4</v>
      </c>
      <c r="K136">
        <f t="shared" si="104"/>
        <v>5669318.1040438106</v>
      </c>
      <c r="L136">
        <f t="shared" si="106"/>
        <v>0.97407428593574008</v>
      </c>
      <c r="N136">
        <v>14</v>
      </c>
      <c r="O136">
        <f t="shared" si="110"/>
        <v>94296.169024755902</v>
      </c>
      <c r="P136">
        <f t="shared" si="107"/>
        <v>0.20612357131750836</v>
      </c>
      <c r="R136">
        <f t="shared" si="111"/>
        <v>94296.169024755902</v>
      </c>
      <c r="S136">
        <f t="shared" si="108"/>
        <v>0.20612357131750836</v>
      </c>
    </row>
    <row r="137" spans="6:51" x14ac:dyDescent="0.3">
      <c r="F137">
        <v>70</v>
      </c>
      <c r="G137">
        <f t="shared" si="109"/>
        <v>343</v>
      </c>
      <c r="H137">
        <f t="shared" si="105"/>
        <v>33.833722815872484</v>
      </c>
      <c r="J137">
        <v>1.5</v>
      </c>
      <c r="K137">
        <f t="shared" si="104"/>
        <v>3430681.215876712</v>
      </c>
      <c r="L137">
        <f t="shared" si="106"/>
        <v>0.95752036568496934</v>
      </c>
      <c r="N137">
        <v>15</v>
      </c>
      <c r="O137">
        <f t="shared" si="110"/>
        <v>66429.162724806491</v>
      </c>
      <c r="P137">
        <f t="shared" si="107"/>
        <v>0.10626848636997767</v>
      </c>
      <c r="R137">
        <f t="shared" si="111"/>
        <v>66429.162724806491</v>
      </c>
      <c r="S137">
        <f t="shared" si="108"/>
        <v>0.10626848636997767</v>
      </c>
    </row>
    <row r="138" spans="6:51" x14ac:dyDescent="0.3">
      <c r="F138">
        <v>70</v>
      </c>
      <c r="G138">
        <f t="shared" si="109"/>
        <v>343</v>
      </c>
      <c r="H138">
        <f t="shared" si="105"/>
        <v>33.833722815872484</v>
      </c>
      <c r="J138">
        <v>1.6</v>
      </c>
      <c r="K138">
        <f t="shared" si="104"/>
        <v>2076012.2097531159</v>
      </c>
      <c r="L138">
        <f t="shared" si="106"/>
        <v>0.93077874579799713</v>
      </c>
      <c r="N138">
        <v>16</v>
      </c>
      <c r="O138">
        <f t="shared" si="110"/>
        <v>47868.050155681129</v>
      </c>
      <c r="P138">
        <f t="shared" si="107"/>
        <v>4.4554053452214824E-2</v>
      </c>
      <c r="R138">
        <f t="shared" si="111"/>
        <v>47868.050155681129</v>
      </c>
      <c r="S138">
        <f t="shared" si="108"/>
        <v>4.4554053452214824E-2</v>
      </c>
    </row>
    <row r="139" spans="6:51" x14ac:dyDescent="0.3">
      <c r="F139">
        <v>70</v>
      </c>
      <c r="G139">
        <f t="shared" si="109"/>
        <v>343</v>
      </c>
      <c r="H139">
        <f t="shared" si="105"/>
        <v>33.833722815872484</v>
      </c>
      <c r="J139">
        <v>1.7</v>
      </c>
      <c r="K139">
        <f t="shared" si="104"/>
        <v>1256259.7408056282</v>
      </c>
      <c r="L139">
        <f t="shared" si="106"/>
        <v>0.88821418618143544</v>
      </c>
      <c r="N139">
        <v>17</v>
      </c>
      <c r="O139">
        <f t="shared" si="110"/>
        <v>35185.456010156653</v>
      </c>
      <c r="P139">
        <f t="shared" si="107"/>
        <v>1.4517062745219063E-2</v>
      </c>
      <c r="R139">
        <f t="shared" si="111"/>
        <v>35185.456010156653</v>
      </c>
      <c r="S139">
        <f t="shared" si="108"/>
        <v>1.4517062745219063E-2</v>
      </c>
    </row>
    <row r="140" spans="6:51" x14ac:dyDescent="0.3">
      <c r="F140">
        <v>70</v>
      </c>
      <c r="G140">
        <f t="shared" si="109"/>
        <v>343</v>
      </c>
      <c r="H140">
        <f t="shared" si="105"/>
        <v>33.833722815872484</v>
      </c>
      <c r="J140">
        <v>1.8</v>
      </c>
      <c r="K140">
        <f t="shared" si="104"/>
        <v>760201.95303027774</v>
      </c>
      <c r="L140">
        <f t="shared" si="106"/>
        <v>0.8220982926715017</v>
      </c>
      <c r="N140">
        <v>18</v>
      </c>
      <c r="O140">
        <f t="shared" si="110"/>
        <v>26322.305175044508</v>
      </c>
      <c r="P140">
        <f t="shared" si="107"/>
        <v>3.4910273820301803E-3</v>
      </c>
      <c r="R140">
        <f t="shared" si="111"/>
        <v>26322.305175044508</v>
      </c>
      <c r="S140">
        <f t="shared" si="108"/>
        <v>3.4910273820301803E-3</v>
      </c>
    </row>
    <row r="141" spans="6:51" x14ac:dyDescent="0.3">
      <c r="F141">
        <v>70</v>
      </c>
      <c r="G141">
        <f t="shared" si="109"/>
        <v>343</v>
      </c>
      <c r="H141">
        <f t="shared" si="105"/>
        <v>33.833722815872484</v>
      </c>
      <c r="J141">
        <v>1.9</v>
      </c>
      <c r="K141">
        <f t="shared" si="104"/>
        <v>460021.91315980878</v>
      </c>
      <c r="L141">
        <f t="shared" si="106"/>
        <v>0.72345009744075262</v>
      </c>
      <c r="N141">
        <v>19</v>
      </c>
      <c r="O141">
        <f t="shared" si="110"/>
        <v>20003.270315920214</v>
      </c>
      <c r="P141">
        <f t="shared" si="107"/>
        <v>5.8448311790527409E-4</v>
      </c>
      <c r="R141">
        <f t="shared" si="111"/>
        <v>20003.270315920214</v>
      </c>
      <c r="S141">
        <f t="shared" si="108"/>
        <v>5.8448311790527409E-4</v>
      </c>
    </row>
    <row r="142" spans="6:51" x14ac:dyDescent="0.3">
      <c r="F142">
        <v>70</v>
      </c>
      <c r="G142">
        <f t="shared" si="109"/>
        <v>343</v>
      </c>
      <c r="H142">
        <f t="shared" si="105"/>
        <v>33.833722815872484</v>
      </c>
      <c r="J142">
        <v>2</v>
      </c>
      <c r="K142">
        <f t="shared" si="104"/>
        <v>278373.60814933531</v>
      </c>
      <c r="L142">
        <f t="shared" si="106"/>
        <v>0.58569007776937576</v>
      </c>
      <c r="N142">
        <v>20</v>
      </c>
      <c r="O142">
        <f t="shared" si="110"/>
        <v>15416.82126221508</v>
      </c>
      <c r="P142">
        <f t="shared" si="107"/>
        <v>6.3811392918570377E-5</v>
      </c>
      <c r="R142">
        <f t="shared" si="111"/>
        <v>15416.82126221508</v>
      </c>
      <c r="S142">
        <f t="shared" si="108"/>
        <v>6.3811392918570377E-5</v>
      </c>
    </row>
    <row r="143" spans="6:51" x14ac:dyDescent="0.3">
      <c r="F143">
        <v>80</v>
      </c>
      <c r="G143">
        <f t="shared" si="109"/>
        <v>353</v>
      </c>
      <c r="H143">
        <f t="shared" si="105"/>
        <v>32.875260413156546</v>
      </c>
      <c r="J143">
        <v>0.1</v>
      </c>
      <c r="K143">
        <f t="shared" si="104"/>
        <v>2348477912.0299835</v>
      </c>
      <c r="L143">
        <f t="shared" si="106"/>
        <v>0.99993659072638807</v>
      </c>
      <c r="N143">
        <v>1</v>
      </c>
      <c r="O143">
        <f t="shared" si="110"/>
        <v>44046307927.683365</v>
      </c>
      <c r="P143">
        <f t="shared" si="107"/>
        <v>0.99999661901859072</v>
      </c>
      <c r="R143">
        <f t="shared" si="111"/>
        <v>2348477912.0299835</v>
      </c>
      <c r="S143">
        <f t="shared" si="108"/>
        <v>0.99993659072638807</v>
      </c>
    </row>
    <row r="144" spans="6:51" x14ac:dyDescent="0.3">
      <c r="F144">
        <v>80</v>
      </c>
      <c r="G144">
        <f t="shared" si="109"/>
        <v>353</v>
      </c>
      <c r="H144">
        <f t="shared" si="105"/>
        <v>32.875260413156546</v>
      </c>
      <c r="J144">
        <v>0.2</v>
      </c>
      <c r="K144">
        <f t="shared" si="104"/>
        <v>1421137235.7031486</v>
      </c>
      <c r="L144">
        <f t="shared" si="106"/>
        <v>0.99989521617341459</v>
      </c>
      <c r="N144">
        <v>2</v>
      </c>
      <c r="O144">
        <f t="shared" si="110"/>
        <v>1304547240.9880323</v>
      </c>
      <c r="P144">
        <f t="shared" si="107"/>
        <v>0.99988585196787272</v>
      </c>
      <c r="R144">
        <f t="shared" si="111"/>
        <v>1304547240.9880323</v>
      </c>
      <c r="S144">
        <f t="shared" si="108"/>
        <v>0.99988585196787272</v>
      </c>
    </row>
    <row r="145" spans="6:19" x14ac:dyDescent="0.3">
      <c r="F145">
        <v>80</v>
      </c>
      <c r="G145">
        <f t="shared" si="109"/>
        <v>353</v>
      </c>
      <c r="H145">
        <f t="shared" si="105"/>
        <v>32.875260413156546</v>
      </c>
      <c r="J145">
        <v>0.3</v>
      </c>
      <c r="K145">
        <f t="shared" ref="K145:K164" si="112">$C$7*EXP($C$5*H145)*EXP(-$C$6*J145)</f>
        <v>859974467.86980975</v>
      </c>
      <c r="L145">
        <f t="shared" si="106"/>
        <v>0.99982684706090297</v>
      </c>
      <c r="N145">
        <v>3</v>
      </c>
      <c r="O145">
        <f t="shared" si="110"/>
        <v>166484594.21103829</v>
      </c>
      <c r="P145">
        <f t="shared" si="107"/>
        <v>0.9991059027635556</v>
      </c>
      <c r="R145">
        <f t="shared" si="111"/>
        <v>166484594.21103829</v>
      </c>
      <c r="S145">
        <f t="shared" si="108"/>
        <v>0.9991059027635556</v>
      </c>
    </row>
    <row r="146" spans="6:19" x14ac:dyDescent="0.3">
      <c r="F146">
        <v>80</v>
      </c>
      <c r="G146">
        <f t="shared" si="109"/>
        <v>353</v>
      </c>
      <c r="H146">
        <f t="shared" si="105"/>
        <v>32.875260413156546</v>
      </c>
      <c r="J146">
        <v>0.4</v>
      </c>
      <c r="K146">
        <f t="shared" si="112"/>
        <v>520397373.8834911</v>
      </c>
      <c r="L146">
        <f t="shared" si="106"/>
        <v>0.99971387500861919</v>
      </c>
      <c r="N146">
        <v>4</v>
      </c>
      <c r="O146">
        <f t="shared" si="110"/>
        <v>38637597.20255392</v>
      </c>
      <c r="P146">
        <f t="shared" si="107"/>
        <v>0.99615314124952004</v>
      </c>
      <c r="R146">
        <f t="shared" si="111"/>
        <v>38637597.20255392</v>
      </c>
      <c r="S146">
        <f t="shared" si="108"/>
        <v>0.99615314124952004</v>
      </c>
    </row>
    <row r="147" spans="6:19" x14ac:dyDescent="0.3">
      <c r="F147">
        <v>80</v>
      </c>
      <c r="G147">
        <f t="shared" si="109"/>
        <v>353</v>
      </c>
      <c r="H147">
        <f t="shared" si="105"/>
        <v>32.875260413156546</v>
      </c>
      <c r="J147">
        <v>0.5</v>
      </c>
      <c r="K147">
        <f t="shared" si="112"/>
        <v>314908682.59804195</v>
      </c>
      <c r="L147">
        <f t="shared" si="106"/>
        <v>0.99952721280257395</v>
      </c>
      <c r="N147">
        <v>5</v>
      </c>
      <c r="O147">
        <f t="shared" si="110"/>
        <v>12443977.31129517</v>
      </c>
      <c r="P147">
        <f t="shared" si="107"/>
        <v>0.98810408762700519</v>
      </c>
      <c r="R147">
        <f t="shared" si="111"/>
        <v>12443977.31129517</v>
      </c>
      <c r="S147">
        <f t="shared" si="108"/>
        <v>0.98810408762700519</v>
      </c>
    </row>
    <row r="148" spans="6:19" x14ac:dyDescent="0.3">
      <c r="F148">
        <v>80</v>
      </c>
      <c r="G148">
        <f t="shared" si="109"/>
        <v>353</v>
      </c>
      <c r="H148">
        <f t="shared" si="105"/>
        <v>32.875260413156546</v>
      </c>
      <c r="J148">
        <v>0.6</v>
      </c>
      <c r="K148">
        <f t="shared" si="112"/>
        <v>190561066.12451202</v>
      </c>
      <c r="L148">
        <f t="shared" si="106"/>
        <v>0.99921882350340752</v>
      </c>
      <c r="N148">
        <v>6</v>
      </c>
      <c r="O148">
        <f t="shared" si="110"/>
        <v>4930879.0739420587</v>
      </c>
      <c r="P148">
        <f t="shared" si="107"/>
        <v>0.97024999752337693</v>
      </c>
      <c r="R148">
        <f t="shared" si="111"/>
        <v>4930879.0739420587</v>
      </c>
      <c r="S148">
        <f t="shared" si="108"/>
        <v>0.97024999752337693</v>
      </c>
    </row>
    <row r="149" spans="6:19" x14ac:dyDescent="0.3">
      <c r="F149">
        <v>80</v>
      </c>
      <c r="G149">
        <f t="shared" si="109"/>
        <v>353</v>
      </c>
      <c r="H149">
        <f t="shared" si="105"/>
        <v>32.875260413156546</v>
      </c>
      <c r="J149">
        <v>0.7</v>
      </c>
      <c r="K149">
        <f t="shared" si="112"/>
        <v>115314444.88262087</v>
      </c>
      <c r="L149">
        <f t="shared" si="106"/>
        <v>0.99870940815784925</v>
      </c>
      <c r="N149">
        <v>7</v>
      </c>
      <c r="O149">
        <f t="shared" si="110"/>
        <v>2254284.48611998</v>
      </c>
      <c r="P149">
        <f t="shared" si="107"/>
        <v>0.93607388140671388</v>
      </c>
      <c r="R149">
        <f t="shared" si="111"/>
        <v>2254284.48611998</v>
      </c>
      <c r="S149">
        <f t="shared" si="108"/>
        <v>0.93607388140671388</v>
      </c>
    </row>
    <row r="150" spans="6:19" x14ac:dyDescent="0.3">
      <c r="F150">
        <v>80</v>
      </c>
      <c r="G150">
        <f t="shared" si="109"/>
        <v>353</v>
      </c>
      <c r="H150">
        <f t="shared" si="105"/>
        <v>32.875260413156546</v>
      </c>
      <c r="J150">
        <v>0.8</v>
      </c>
      <c r="K150">
        <f t="shared" si="112"/>
        <v>69780367.359503016</v>
      </c>
      <c r="L150">
        <f t="shared" si="106"/>
        <v>0.9978681510044729</v>
      </c>
      <c r="N150">
        <v>8</v>
      </c>
      <c r="O150">
        <f t="shared" si="110"/>
        <v>1144354.049191921</v>
      </c>
      <c r="P150">
        <f t="shared" si="107"/>
        <v>0.8779772905393407</v>
      </c>
      <c r="R150">
        <f t="shared" si="111"/>
        <v>1144354.049191921</v>
      </c>
      <c r="S150">
        <f t="shared" si="108"/>
        <v>0.8779772905393407</v>
      </c>
    </row>
    <row r="151" spans="6:19" x14ac:dyDescent="0.3">
      <c r="F151">
        <v>80</v>
      </c>
      <c r="G151">
        <f t="shared" si="109"/>
        <v>353</v>
      </c>
      <c r="H151">
        <f t="shared" si="105"/>
        <v>32.875260413156546</v>
      </c>
      <c r="J151">
        <v>0.9</v>
      </c>
      <c r="K151">
        <f t="shared" si="112"/>
        <v>42226276.801520199</v>
      </c>
      <c r="L151">
        <f t="shared" si="106"/>
        <v>0.99647949758845478</v>
      </c>
      <c r="N151">
        <v>9</v>
      </c>
      <c r="O151">
        <f t="shared" si="110"/>
        <v>629272.26852068817</v>
      </c>
      <c r="P151">
        <f t="shared" si="107"/>
        <v>0.78926407467703985</v>
      </c>
      <c r="R151">
        <f t="shared" si="111"/>
        <v>629272.26852068817</v>
      </c>
      <c r="S151">
        <f t="shared" si="108"/>
        <v>0.78926407467703985</v>
      </c>
    </row>
    <row r="152" spans="6:19" x14ac:dyDescent="0.3">
      <c r="F152">
        <v>80</v>
      </c>
      <c r="G152">
        <f t="shared" si="109"/>
        <v>353</v>
      </c>
      <c r="H152">
        <f t="shared" si="105"/>
        <v>32.875260413156546</v>
      </c>
      <c r="J152">
        <v>1</v>
      </c>
      <c r="K152">
        <f t="shared" si="112"/>
        <v>25552437.168070875</v>
      </c>
      <c r="L152">
        <f t="shared" si="106"/>
        <v>0.99418893443344536</v>
      </c>
      <c r="N152">
        <v>10</v>
      </c>
      <c r="O152">
        <f t="shared" si="110"/>
        <v>368561.11288648401</v>
      </c>
      <c r="P152">
        <f t="shared" si="107"/>
        <v>0.66760551885710318</v>
      </c>
      <c r="R152">
        <f t="shared" si="111"/>
        <v>368561.11288648401</v>
      </c>
      <c r="S152">
        <f t="shared" si="108"/>
        <v>0.66760551885710318</v>
      </c>
    </row>
    <row r="153" spans="6:19" x14ac:dyDescent="0.3">
      <c r="F153">
        <v>80</v>
      </c>
      <c r="G153">
        <f t="shared" si="109"/>
        <v>353</v>
      </c>
      <c r="H153">
        <f t="shared" si="105"/>
        <v>32.875260413156546</v>
      </c>
      <c r="J153">
        <v>1.1000000000000001</v>
      </c>
      <c r="K153">
        <f t="shared" si="112"/>
        <v>15462576.733847944</v>
      </c>
      <c r="L153">
        <f t="shared" si="106"/>
        <v>0.99041523445072688</v>
      </c>
      <c r="N153">
        <v>11</v>
      </c>
      <c r="O153">
        <f t="shared" si="110"/>
        <v>227165.45604630251</v>
      </c>
      <c r="P153">
        <f t="shared" si="107"/>
        <v>0.51915259651452406</v>
      </c>
      <c r="R153">
        <f t="shared" si="111"/>
        <v>227165.45604630251</v>
      </c>
      <c r="S153">
        <f t="shared" si="108"/>
        <v>0.51915259651452406</v>
      </c>
    </row>
    <row r="154" spans="6:19" x14ac:dyDescent="0.3">
      <c r="F154">
        <v>80</v>
      </c>
      <c r="G154">
        <f t="shared" si="109"/>
        <v>353</v>
      </c>
      <c r="H154">
        <f t="shared" si="105"/>
        <v>32.875260413156546</v>
      </c>
      <c r="J154">
        <v>1.2</v>
      </c>
      <c r="K154">
        <f t="shared" si="112"/>
        <v>9356887.4732971936</v>
      </c>
      <c r="L154">
        <f t="shared" si="106"/>
        <v>0.98421043421349075</v>
      </c>
      <c r="N154">
        <v>12</v>
      </c>
      <c r="O154">
        <f t="shared" si="110"/>
        <v>146040.9508583085</v>
      </c>
      <c r="P154">
        <f t="shared" si="107"/>
        <v>0.36069809041856116</v>
      </c>
      <c r="R154">
        <f t="shared" si="111"/>
        <v>146040.9508583085</v>
      </c>
      <c r="S154">
        <f t="shared" si="108"/>
        <v>0.36069809041856116</v>
      </c>
    </row>
    <row r="155" spans="6:19" x14ac:dyDescent="0.3">
      <c r="F155">
        <v>80</v>
      </c>
      <c r="G155">
        <f t="shared" si="109"/>
        <v>353</v>
      </c>
      <c r="H155">
        <f t="shared" si="105"/>
        <v>32.875260413156546</v>
      </c>
      <c r="J155">
        <v>1.3</v>
      </c>
      <c r="K155">
        <f t="shared" si="112"/>
        <v>5662144.4598101098</v>
      </c>
      <c r="L155">
        <f t="shared" si="106"/>
        <v>0.97404186944912008</v>
      </c>
      <c r="N155">
        <v>13</v>
      </c>
      <c r="O155">
        <f t="shared" si="110"/>
        <v>97268.794529426523</v>
      </c>
      <c r="P155">
        <f t="shared" si="107"/>
        <v>0.21631595832504177</v>
      </c>
      <c r="R155">
        <f t="shared" si="111"/>
        <v>97268.794529426523</v>
      </c>
      <c r="S155">
        <f t="shared" si="108"/>
        <v>0.21631595832504177</v>
      </c>
    </row>
    <row r="156" spans="6:19" x14ac:dyDescent="0.3">
      <c r="F156">
        <v>80</v>
      </c>
      <c r="G156">
        <f t="shared" si="109"/>
        <v>353</v>
      </c>
      <c r="H156">
        <f t="shared" si="105"/>
        <v>32.875260413156546</v>
      </c>
      <c r="J156">
        <v>1.4</v>
      </c>
      <c r="K156">
        <f t="shared" si="112"/>
        <v>3426340.2199985073</v>
      </c>
      <c r="L156">
        <f t="shared" si="106"/>
        <v>0.95746770728852693</v>
      </c>
      <c r="N156">
        <v>14</v>
      </c>
      <c r="O156">
        <f t="shared" si="110"/>
        <v>66766.563308740413</v>
      </c>
      <c r="P156">
        <f t="shared" si="107"/>
        <v>0.1074792179632708</v>
      </c>
      <c r="R156">
        <f t="shared" si="111"/>
        <v>66766.563308740413</v>
      </c>
      <c r="S156">
        <f t="shared" si="108"/>
        <v>0.1074792179632708</v>
      </c>
    </row>
    <row r="157" spans="6:19" x14ac:dyDescent="0.3">
      <c r="F157">
        <v>80</v>
      </c>
      <c r="G157">
        <f t="shared" si="109"/>
        <v>353</v>
      </c>
      <c r="H157">
        <f t="shared" si="105"/>
        <v>32.875260413156546</v>
      </c>
      <c r="J157">
        <v>1.5</v>
      </c>
      <c r="K157">
        <f t="shared" si="112"/>
        <v>2073385.337747653</v>
      </c>
      <c r="L157">
        <f t="shared" si="106"/>
        <v>0.93069415780196896</v>
      </c>
      <c r="N157">
        <v>15</v>
      </c>
      <c r="O157">
        <f t="shared" si="110"/>
        <v>47035.281968326948</v>
      </c>
      <c r="P157">
        <f t="shared" si="107"/>
        <v>4.2166302986218651E-2</v>
      </c>
      <c r="R157">
        <f t="shared" si="111"/>
        <v>47035.281968326948</v>
      </c>
      <c r="S157">
        <f t="shared" si="108"/>
        <v>4.2166302986218651E-2</v>
      </c>
    </row>
    <row r="158" spans="6:19" x14ac:dyDescent="0.3">
      <c r="F158">
        <v>80</v>
      </c>
      <c r="G158">
        <f t="shared" si="109"/>
        <v>353</v>
      </c>
      <c r="H158">
        <f t="shared" si="105"/>
        <v>32.875260413156546</v>
      </c>
      <c r="J158">
        <v>1.6</v>
      </c>
      <c r="K158">
        <f t="shared" si="112"/>
        <v>1254670.1386206271</v>
      </c>
      <c r="L158">
        <f t="shared" si="106"/>
        <v>0.88808079793367367</v>
      </c>
      <c r="N158">
        <v>16</v>
      </c>
      <c r="O158">
        <f t="shared" si="110"/>
        <v>33893.054556078438</v>
      </c>
      <c r="P158">
        <f t="shared" si="107"/>
        <v>1.235344186165967E-2</v>
      </c>
      <c r="R158">
        <f t="shared" si="111"/>
        <v>33893.054556078438</v>
      </c>
      <c r="S158">
        <f t="shared" si="108"/>
        <v>1.235344186165967E-2</v>
      </c>
    </row>
    <row r="159" spans="6:19" x14ac:dyDescent="0.3">
      <c r="F159">
        <v>80</v>
      </c>
      <c r="G159">
        <f t="shared" si="109"/>
        <v>353</v>
      </c>
      <c r="H159">
        <f t="shared" si="105"/>
        <v>32.875260413156546</v>
      </c>
      <c r="J159">
        <v>1.7</v>
      </c>
      <c r="K159">
        <f t="shared" si="112"/>
        <v>759240.03516701609</v>
      </c>
      <c r="L159">
        <f t="shared" si="106"/>
        <v>0.82189428204499648</v>
      </c>
      <c r="N159">
        <v>17</v>
      </c>
      <c r="O159">
        <f t="shared" si="110"/>
        <v>24913.122140012689</v>
      </c>
      <c r="P159">
        <f t="shared" si="107"/>
        <v>2.5349718434156763E-3</v>
      </c>
      <c r="R159">
        <f t="shared" si="111"/>
        <v>24913.122140012689</v>
      </c>
      <c r="S159">
        <f t="shared" si="108"/>
        <v>2.5349718434156763E-3</v>
      </c>
    </row>
    <row r="160" spans="6:19" x14ac:dyDescent="0.3">
      <c r="F160">
        <v>80</v>
      </c>
      <c r="G160">
        <f t="shared" si="109"/>
        <v>353</v>
      </c>
      <c r="H160">
        <f t="shared" si="105"/>
        <v>32.875260413156546</v>
      </c>
      <c r="J160">
        <v>1.8</v>
      </c>
      <c r="K160">
        <f t="shared" si="112"/>
        <v>459439.82665766613</v>
      </c>
      <c r="L160">
        <f t="shared" si="106"/>
        <v>0.72315344158973005</v>
      </c>
      <c r="N160">
        <v>18</v>
      </c>
      <c r="O160">
        <f t="shared" si="110"/>
        <v>18637.553074295149</v>
      </c>
      <c r="P160">
        <f t="shared" si="107"/>
        <v>3.3872591153491049E-4</v>
      </c>
      <c r="R160">
        <f t="shared" si="111"/>
        <v>18637.553074295149</v>
      </c>
      <c r="S160">
        <f t="shared" si="108"/>
        <v>3.3872591153491049E-4</v>
      </c>
    </row>
    <row r="161" spans="6:19" x14ac:dyDescent="0.3">
      <c r="F161">
        <v>80</v>
      </c>
      <c r="G161">
        <f t="shared" si="109"/>
        <v>353</v>
      </c>
      <c r="H161">
        <f t="shared" si="105"/>
        <v>32.875260413156546</v>
      </c>
      <c r="J161">
        <v>1.9</v>
      </c>
      <c r="K161">
        <f t="shared" si="112"/>
        <v>278021.3694510893</v>
      </c>
      <c r="L161">
        <f t="shared" si="106"/>
        <v>0.58529324771477453</v>
      </c>
      <c r="N161">
        <v>19</v>
      </c>
      <c r="O161">
        <f t="shared" si="110"/>
        <v>14163.349664598871</v>
      </c>
      <c r="P161">
        <f t="shared" si="107"/>
        <v>2.714108653231308E-5</v>
      </c>
      <c r="R161">
        <f t="shared" si="111"/>
        <v>14163.349664598871</v>
      </c>
      <c r="S161">
        <f t="shared" si="108"/>
        <v>2.714108653231308E-5</v>
      </c>
    </row>
    <row r="162" spans="6:19" x14ac:dyDescent="0.3">
      <c r="F162">
        <v>80</v>
      </c>
      <c r="G162">
        <f t="shared" si="109"/>
        <v>353</v>
      </c>
      <c r="H162">
        <f t="shared" si="105"/>
        <v>32.875260413156546</v>
      </c>
      <c r="J162">
        <v>2</v>
      </c>
      <c r="K162">
        <f t="shared" si="112"/>
        <v>168239.40239088779</v>
      </c>
      <c r="L162">
        <f t="shared" si="106"/>
        <v>0.4126451750627077</v>
      </c>
      <c r="N162">
        <v>20</v>
      </c>
      <c r="O162">
        <f t="shared" si="110"/>
        <v>10915.906589513572</v>
      </c>
      <c r="P162">
        <f t="shared" si="107"/>
        <v>1.1889065006834398E-6</v>
      </c>
      <c r="R162">
        <f t="shared" si="111"/>
        <v>10915.906589513572</v>
      </c>
      <c r="S162">
        <f t="shared" si="108"/>
        <v>1.1889065006834398E-6</v>
      </c>
    </row>
    <row r="163" spans="6:19" x14ac:dyDescent="0.3">
      <c r="F163">
        <v>90</v>
      </c>
      <c r="G163">
        <f t="shared" si="109"/>
        <v>363</v>
      </c>
      <c r="H163">
        <f t="shared" si="105"/>
        <v>31.969605856320278</v>
      </c>
      <c r="J163">
        <v>0.1</v>
      </c>
      <c r="K163">
        <f t="shared" si="112"/>
        <v>1459270301.2822068</v>
      </c>
      <c r="L163">
        <f t="shared" si="106"/>
        <v>0.99989795420258343</v>
      </c>
      <c r="N163">
        <v>1</v>
      </c>
      <c r="O163">
        <f t="shared" si="110"/>
        <v>31785962515.835758</v>
      </c>
      <c r="P163">
        <f t="shared" si="107"/>
        <v>0.99999531492396765</v>
      </c>
      <c r="R163">
        <f t="shared" si="111"/>
        <v>1459270301.2822068</v>
      </c>
      <c r="S163">
        <f t="shared" si="108"/>
        <v>0.99989795420258343</v>
      </c>
    </row>
    <row r="164" spans="6:19" x14ac:dyDescent="0.3">
      <c r="F164">
        <v>90</v>
      </c>
      <c r="G164">
        <f t="shared" si="109"/>
        <v>363</v>
      </c>
      <c r="H164">
        <f t="shared" si="105"/>
        <v>31.969605856320278</v>
      </c>
      <c r="J164">
        <v>0.2</v>
      </c>
      <c r="K164">
        <f t="shared" si="112"/>
        <v>883049975.25623703</v>
      </c>
      <c r="L164">
        <f t="shared" si="106"/>
        <v>0.99983137144245826</v>
      </c>
      <c r="N164">
        <v>2</v>
      </c>
      <c r="O164">
        <f t="shared" si="110"/>
        <v>941424869.7135576</v>
      </c>
      <c r="P164">
        <f t="shared" si="107"/>
        <v>0.99984182675973354</v>
      </c>
      <c r="R164">
        <f t="shared" si="111"/>
        <v>883049975.25623703</v>
      </c>
      <c r="S164">
        <f t="shared" si="108"/>
        <v>0.99983137144245826</v>
      </c>
    </row>
    <row r="165" spans="6:19" x14ac:dyDescent="0.3">
      <c r="F165">
        <v>90</v>
      </c>
      <c r="G165">
        <f t="shared" si="109"/>
        <v>363</v>
      </c>
      <c r="H165">
        <f t="shared" si="105"/>
        <v>31.969605856320278</v>
      </c>
      <c r="J165">
        <v>0.3</v>
      </c>
      <c r="K165">
        <f t="shared" ref="K165:K184" si="113">$C$7*EXP($C$5*H165)*EXP(-$C$6*J165)</f>
        <v>534361083.14880353</v>
      </c>
      <c r="L165">
        <f t="shared" si="106"/>
        <v>0.99972135087019309</v>
      </c>
      <c r="N165">
        <v>3</v>
      </c>
      <c r="O165">
        <f t="shared" si="110"/>
        <v>120143397.25691779</v>
      </c>
      <c r="P165">
        <f t="shared" si="107"/>
        <v>0.9987612490827652</v>
      </c>
      <c r="R165">
        <f t="shared" si="111"/>
        <v>120143397.25691779</v>
      </c>
      <c r="S165">
        <f t="shared" si="108"/>
        <v>0.9987612490827652</v>
      </c>
    </row>
    <row r="166" spans="6:19" x14ac:dyDescent="0.3">
      <c r="F166">
        <v>90</v>
      </c>
      <c r="G166">
        <f t="shared" si="109"/>
        <v>363</v>
      </c>
      <c r="H166">
        <f t="shared" si="105"/>
        <v>31.969605856320278</v>
      </c>
      <c r="J166">
        <v>0.4</v>
      </c>
      <c r="K166">
        <f t="shared" si="113"/>
        <v>323358558.61510682</v>
      </c>
      <c r="L166">
        <f t="shared" si="106"/>
        <v>0.99953956464307159</v>
      </c>
      <c r="N166">
        <v>4</v>
      </c>
      <c r="O166">
        <f t="shared" si="110"/>
        <v>27882773.248525798</v>
      </c>
      <c r="P166">
        <f t="shared" si="107"/>
        <v>0.99467330527245434</v>
      </c>
      <c r="R166">
        <f t="shared" si="111"/>
        <v>27882773.248525798</v>
      </c>
      <c r="S166">
        <f t="shared" si="108"/>
        <v>0.99467330527245434</v>
      </c>
    </row>
    <row r="167" spans="6:19" x14ac:dyDescent="0.3">
      <c r="F167">
        <v>90</v>
      </c>
      <c r="G167">
        <f t="shared" si="109"/>
        <v>363</v>
      </c>
      <c r="H167">
        <f t="shared" si="105"/>
        <v>31.969605856320278</v>
      </c>
      <c r="J167">
        <v>0.5</v>
      </c>
      <c r="K167">
        <f t="shared" si="113"/>
        <v>195674349.66165459</v>
      </c>
      <c r="L167">
        <f t="shared" si="106"/>
        <v>0.99923922912700158</v>
      </c>
      <c r="N167">
        <v>5</v>
      </c>
      <c r="O167">
        <f t="shared" si="110"/>
        <v>8980180.5185159985</v>
      </c>
      <c r="P167">
        <f t="shared" si="107"/>
        <v>0.98355355852314641</v>
      </c>
      <c r="R167">
        <f t="shared" si="111"/>
        <v>8980180.5185159985</v>
      </c>
      <c r="S167">
        <f t="shared" si="108"/>
        <v>0.98355355852314641</v>
      </c>
    </row>
    <row r="168" spans="6:19" x14ac:dyDescent="0.3">
      <c r="F168">
        <v>90</v>
      </c>
      <c r="G168">
        <f t="shared" si="109"/>
        <v>363</v>
      </c>
      <c r="H168">
        <f t="shared" si="105"/>
        <v>31.969605856320278</v>
      </c>
      <c r="J168">
        <v>0.6</v>
      </c>
      <c r="K168">
        <f t="shared" si="113"/>
        <v>118408652.23884842</v>
      </c>
      <c r="L168">
        <f t="shared" si="106"/>
        <v>0.99874311218224454</v>
      </c>
      <c r="N168">
        <v>6</v>
      </c>
      <c r="O168">
        <f t="shared" si="110"/>
        <v>3558362.6594031453</v>
      </c>
      <c r="P168">
        <f t="shared" si="107"/>
        <v>0.95901294193418185</v>
      </c>
      <c r="R168">
        <f t="shared" si="111"/>
        <v>3558362.6594031453</v>
      </c>
      <c r="S168">
        <f t="shared" si="108"/>
        <v>0.95901294193418185</v>
      </c>
    </row>
    <row r="169" spans="6:19" x14ac:dyDescent="0.3">
      <c r="F169">
        <v>90</v>
      </c>
      <c r="G169">
        <f t="shared" si="109"/>
        <v>363</v>
      </c>
      <c r="H169">
        <f t="shared" si="105"/>
        <v>31.969605856320278</v>
      </c>
      <c r="J169">
        <v>0.7</v>
      </c>
      <c r="K169">
        <f t="shared" si="113"/>
        <v>71652768.741860822</v>
      </c>
      <c r="L169">
        <f t="shared" si="106"/>
        <v>0.99792380175475892</v>
      </c>
      <c r="N169">
        <v>7</v>
      </c>
      <c r="O169">
        <f t="shared" si="110"/>
        <v>1626801.553798438</v>
      </c>
      <c r="P169">
        <f t="shared" si="107"/>
        <v>0.91252336399243406</v>
      </c>
      <c r="R169">
        <f t="shared" si="111"/>
        <v>1626801.553798438</v>
      </c>
      <c r="S169">
        <f t="shared" si="108"/>
        <v>0.91252336399243406</v>
      </c>
    </row>
    <row r="170" spans="6:19" x14ac:dyDescent="0.3">
      <c r="F170">
        <v>90</v>
      </c>
      <c r="G170">
        <f t="shared" si="109"/>
        <v>363</v>
      </c>
      <c r="H170">
        <f t="shared" si="105"/>
        <v>31.969605856320278</v>
      </c>
      <c r="J170">
        <v>0.8</v>
      </c>
      <c r="K170">
        <f t="shared" si="113"/>
        <v>43359325.279864483</v>
      </c>
      <c r="L170">
        <f t="shared" si="106"/>
        <v>0.99657133604862891</v>
      </c>
      <c r="N170">
        <v>8</v>
      </c>
      <c r="O170">
        <f t="shared" si="110"/>
        <v>825821.65506766003</v>
      </c>
      <c r="P170">
        <f t="shared" si="107"/>
        <v>0.83499504143019154</v>
      </c>
      <c r="R170">
        <f t="shared" si="111"/>
        <v>825821.65506766003</v>
      </c>
      <c r="S170">
        <f t="shared" si="108"/>
        <v>0.83499504143019154</v>
      </c>
    </row>
    <row r="171" spans="6:19" x14ac:dyDescent="0.3">
      <c r="F171">
        <v>90</v>
      </c>
      <c r="G171">
        <f t="shared" si="109"/>
        <v>363</v>
      </c>
      <c r="H171">
        <f t="shared" si="105"/>
        <v>31.969605856320278</v>
      </c>
      <c r="J171">
        <v>0.9</v>
      </c>
      <c r="K171">
        <f t="shared" si="113"/>
        <v>26238080.143115915</v>
      </c>
      <c r="L171">
        <f t="shared" si="106"/>
        <v>0.99434035632632434</v>
      </c>
      <c r="N171">
        <v>9</v>
      </c>
      <c r="O171">
        <f t="shared" si="110"/>
        <v>454113.53824010608</v>
      </c>
      <c r="P171">
        <f t="shared" si="107"/>
        <v>0.72040940564641653</v>
      </c>
      <c r="R171">
        <f t="shared" si="111"/>
        <v>454113.53824010608</v>
      </c>
      <c r="S171">
        <f t="shared" si="108"/>
        <v>0.72040940564641653</v>
      </c>
    </row>
    <row r="172" spans="6:19" x14ac:dyDescent="0.3">
      <c r="F172">
        <v>90</v>
      </c>
      <c r="G172">
        <f t="shared" si="109"/>
        <v>363</v>
      </c>
      <c r="H172">
        <f t="shared" si="105"/>
        <v>31.969605856320278</v>
      </c>
      <c r="J172">
        <v>1</v>
      </c>
      <c r="K172">
        <f t="shared" si="113"/>
        <v>15877480.683867458</v>
      </c>
      <c r="L172">
        <f t="shared" si="106"/>
        <v>0.99066452688558715</v>
      </c>
      <c r="N172">
        <v>10</v>
      </c>
      <c r="O172">
        <f t="shared" si="110"/>
        <v>265971.66187546682</v>
      </c>
      <c r="P172">
        <f t="shared" si="107"/>
        <v>0.57126088993937607</v>
      </c>
      <c r="R172">
        <f t="shared" si="111"/>
        <v>265971.66187546682</v>
      </c>
      <c r="S172">
        <f t="shared" si="108"/>
        <v>0.57126088993937607</v>
      </c>
    </row>
    <row r="173" spans="6:19" x14ac:dyDescent="0.3">
      <c r="F173">
        <v>90</v>
      </c>
      <c r="G173">
        <f t="shared" si="109"/>
        <v>363</v>
      </c>
      <c r="H173">
        <f t="shared" si="105"/>
        <v>31.969605856320278</v>
      </c>
      <c r="J173">
        <v>1.1000000000000001</v>
      </c>
      <c r="K173">
        <f t="shared" si="113"/>
        <v>9607958.7946805637</v>
      </c>
      <c r="L173">
        <f t="shared" si="106"/>
        <v>0.98461985121817752</v>
      </c>
      <c r="N173">
        <v>11</v>
      </c>
      <c r="O173">
        <f t="shared" si="110"/>
        <v>163933.66460216459</v>
      </c>
      <c r="P173">
        <f t="shared" si="107"/>
        <v>0.40316223877796603</v>
      </c>
      <c r="R173">
        <f t="shared" si="111"/>
        <v>163933.66460216459</v>
      </c>
      <c r="S173">
        <f t="shared" si="108"/>
        <v>0.40316223877796603</v>
      </c>
    </row>
    <row r="174" spans="6:19" x14ac:dyDescent="0.3">
      <c r="F174">
        <v>90</v>
      </c>
      <c r="G174">
        <f t="shared" si="109"/>
        <v>363</v>
      </c>
      <c r="H174">
        <f t="shared" si="105"/>
        <v>31.969605856320278</v>
      </c>
      <c r="J174">
        <v>1.2</v>
      </c>
      <c r="K174">
        <f t="shared" si="113"/>
        <v>5814075.5475190403</v>
      </c>
      <c r="L174">
        <f t="shared" si="106"/>
        <v>0.97471154575780783</v>
      </c>
      <c r="N174">
        <v>12</v>
      </c>
      <c r="O174">
        <f t="shared" si="110"/>
        <v>105390.26783767383</v>
      </c>
      <c r="P174">
        <f t="shared" si="107"/>
        <v>0.24340374825273928</v>
      </c>
      <c r="R174">
        <f t="shared" si="111"/>
        <v>105390.26783767383</v>
      </c>
      <c r="S174">
        <f t="shared" si="108"/>
        <v>0.24340374825273928</v>
      </c>
    </row>
    <row r="175" spans="6:19" x14ac:dyDescent="0.3">
      <c r="F175">
        <v>90</v>
      </c>
      <c r="G175">
        <f t="shared" si="109"/>
        <v>363</v>
      </c>
      <c r="H175">
        <f t="shared" si="105"/>
        <v>31.969605856320278</v>
      </c>
      <c r="J175">
        <v>1.3</v>
      </c>
      <c r="K175">
        <f t="shared" si="113"/>
        <v>3518278.4600381567</v>
      </c>
      <c r="L175">
        <f t="shared" si="106"/>
        <v>0.9585557834779852</v>
      </c>
      <c r="N175">
        <v>13</v>
      </c>
      <c r="O175">
        <f t="shared" si="110"/>
        <v>70193.902788607593</v>
      </c>
      <c r="P175">
        <f t="shared" si="107"/>
        <v>0.11984550926196774</v>
      </c>
      <c r="R175">
        <f t="shared" si="111"/>
        <v>70193.902788607593</v>
      </c>
      <c r="S175">
        <f t="shared" si="108"/>
        <v>0.11984550926196774</v>
      </c>
    </row>
    <row r="176" spans="6:19" x14ac:dyDescent="0.3">
      <c r="F176">
        <v>90</v>
      </c>
      <c r="G176">
        <f t="shared" si="109"/>
        <v>363</v>
      </c>
      <c r="H176">
        <f t="shared" si="105"/>
        <v>31.969605856320278</v>
      </c>
      <c r="J176">
        <v>1.4</v>
      </c>
      <c r="K176">
        <f t="shared" si="113"/>
        <v>2129020.034431871</v>
      </c>
      <c r="L176">
        <f t="shared" si="106"/>
        <v>0.93244260931832923</v>
      </c>
      <c r="N176">
        <v>14</v>
      </c>
      <c r="O176">
        <f t="shared" si="110"/>
        <v>48182.00613152772</v>
      </c>
      <c r="P176">
        <f t="shared" si="107"/>
        <v>4.5466458705330413E-2</v>
      </c>
      <c r="R176">
        <f t="shared" si="111"/>
        <v>48182.00613152772</v>
      </c>
      <c r="S176">
        <f t="shared" si="108"/>
        <v>4.5466458705330413E-2</v>
      </c>
    </row>
    <row r="177" spans="6:19" x14ac:dyDescent="0.3">
      <c r="F177">
        <v>90</v>
      </c>
      <c r="G177">
        <f t="shared" si="109"/>
        <v>363</v>
      </c>
      <c r="H177">
        <f t="shared" si="105"/>
        <v>31.969605856320278</v>
      </c>
      <c r="J177">
        <v>1.5</v>
      </c>
      <c r="K177">
        <f t="shared" si="113"/>
        <v>1288336.428880366</v>
      </c>
      <c r="L177">
        <f t="shared" si="106"/>
        <v>0.89083956863859926</v>
      </c>
      <c r="N177">
        <v>15</v>
      </c>
      <c r="O177">
        <f t="shared" si="110"/>
        <v>33942.951859248817</v>
      </c>
      <c r="P177">
        <f t="shared" si="107"/>
        <v>1.2433491814710079E-2</v>
      </c>
      <c r="R177">
        <f t="shared" si="111"/>
        <v>33942.951859248817</v>
      </c>
      <c r="S177">
        <f t="shared" si="108"/>
        <v>1.2433491814710079E-2</v>
      </c>
    </row>
    <row r="178" spans="6:19" x14ac:dyDescent="0.3">
      <c r="F178">
        <v>90</v>
      </c>
      <c r="G178">
        <f t="shared" si="109"/>
        <v>363</v>
      </c>
      <c r="H178">
        <f t="shared" si="105"/>
        <v>31.969605856320278</v>
      </c>
      <c r="J178">
        <v>1.6</v>
      </c>
      <c r="K178">
        <f t="shared" si="113"/>
        <v>779612.55748499243</v>
      </c>
      <c r="L178">
        <f t="shared" si="106"/>
        <v>0.82611775128347331</v>
      </c>
      <c r="N178">
        <v>16</v>
      </c>
      <c r="O178">
        <f t="shared" si="110"/>
        <v>24458.880036789225</v>
      </c>
      <c r="P178">
        <f t="shared" si="107"/>
        <v>2.2686139649524531E-3</v>
      </c>
      <c r="R178">
        <f t="shared" si="111"/>
        <v>24458.880036789225</v>
      </c>
      <c r="S178">
        <f t="shared" si="108"/>
        <v>2.2686139649524531E-3</v>
      </c>
    </row>
    <row r="179" spans="6:19" x14ac:dyDescent="0.3">
      <c r="F179">
        <v>90</v>
      </c>
      <c r="G179">
        <f t="shared" si="109"/>
        <v>363</v>
      </c>
      <c r="H179">
        <f t="shared" si="105"/>
        <v>31.969605856320278</v>
      </c>
      <c r="J179">
        <v>1.7</v>
      </c>
      <c r="K179">
        <f t="shared" si="113"/>
        <v>471767.87534952961</v>
      </c>
      <c r="L179">
        <f t="shared" si="106"/>
        <v>0.72930466338587818</v>
      </c>
      <c r="N179">
        <v>17</v>
      </c>
      <c r="O179">
        <f t="shared" si="110"/>
        <v>17978.52314421058</v>
      </c>
      <c r="P179">
        <f t="shared" si="107"/>
        <v>2.5272300148469773E-4</v>
      </c>
      <c r="R179">
        <f t="shared" si="111"/>
        <v>17978.52314421058</v>
      </c>
      <c r="S179">
        <f t="shared" si="108"/>
        <v>2.5272300148469773E-4</v>
      </c>
    </row>
    <row r="180" spans="6:19" x14ac:dyDescent="0.3">
      <c r="F180">
        <v>90</v>
      </c>
      <c r="G180">
        <f t="shared" si="109"/>
        <v>363</v>
      </c>
      <c r="H180">
        <f t="shared" si="105"/>
        <v>31.969605856320278</v>
      </c>
      <c r="J180">
        <v>1.8</v>
      </c>
      <c r="K180">
        <f t="shared" si="113"/>
        <v>285481.4562374379</v>
      </c>
      <c r="L180">
        <f t="shared" si="106"/>
        <v>0.59354331206198585</v>
      </c>
      <c r="N180">
        <v>18</v>
      </c>
      <c r="O180">
        <f t="shared" si="110"/>
        <v>13449.766649660785</v>
      </c>
      <c r="P180">
        <f t="shared" si="107"/>
        <v>1.5536615060750427E-5</v>
      </c>
      <c r="R180">
        <f t="shared" si="111"/>
        <v>13449.766649660785</v>
      </c>
      <c r="S180">
        <f t="shared" si="108"/>
        <v>1.5536615060750427E-5</v>
      </c>
    </row>
    <row r="181" spans="6:19" x14ac:dyDescent="0.3">
      <c r="F181">
        <v>90</v>
      </c>
      <c r="G181">
        <f t="shared" si="109"/>
        <v>363</v>
      </c>
      <c r="H181">
        <f t="shared" si="105"/>
        <v>31.969605856320278</v>
      </c>
      <c r="J181">
        <v>1.9</v>
      </c>
      <c r="K181">
        <f t="shared" si="113"/>
        <v>172753.7335921101</v>
      </c>
      <c r="L181">
        <f t="shared" si="106"/>
        <v>0.42230124798379653</v>
      </c>
      <c r="N181">
        <v>19</v>
      </c>
      <c r="O181">
        <f t="shared" si="110"/>
        <v>10220.963406893499</v>
      </c>
      <c r="P181">
        <f t="shared" si="107"/>
        <v>4.7022473418776524E-7</v>
      </c>
      <c r="R181">
        <f t="shared" si="111"/>
        <v>10220.963406893499</v>
      </c>
      <c r="S181">
        <f t="shared" si="108"/>
        <v>4.7022473418776524E-7</v>
      </c>
    </row>
    <row r="182" spans="6:19" x14ac:dyDescent="0.3">
      <c r="F182">
        <v>90</v>
      </c>
      <c r="G182">
        <f t="shared" si="109"/>
        <v>363</v>
      </c>
      <c r="H182">
        <f t="shared" si="105"/>
        <v>31.969605856320278</v>
      </c>
      <c r="J182">
        <v>2</v>
      </c>
      <c r="K182">
        <f t="shared" si="113"/>
        <v>104538.67254058074</v>
      </c>
      <c r="L182">
        <f t="shared" si="106"/>
        <v>0.2406180190635574</v>
      </c>
      <c r="N182">
        <v>20</v>
      </c>
      <c r="O182">
        <f t="shared" si="110"/>
        <v>7877.4502110441053</v>
      </c>
      <c r="P182">
        <f t="shared" si="107"/>
        <v>6.1636650879428125E-9</v>
      </c>
      <c r="R182">
        <f t="shared" si="111"/>
        <v>7877.4502110441053</v>
      </c>
      <c r="S182">
        <f t="shared" si="108"/>
        <v>6.1636650879428125E-9</v>
      </c>
    </row>
    <row r="183" spans="6:19" x14ac:dyDescent="0.3">
      <c r="F183">
        <v>100</v>
      </c>
      <c r="G183">
        <f t="shared" si="109"/>
        <v>373</v>
      </c>
      <c r="H183">
        <f t="shared" si="105"/>
        <v>31.112511865534216</v>
      </c>
      <c r="J183">
        <v>0.1</v>
      </c>
      <c r="K183">
        <f t="shared" si="113"/>
        <v>930176742.10259211</v>
      </c>
      <c r="L183">
        <f t="shared" si="106"/>
        <v>0.99983991420882301</v>
      </c>
      <c r="N183">
        <v>1</v>
      </c>
      <c r="O183">
        <f t="shared" si="110"/>
        <v>23343054931.358768</v>
      </c>
      <c r="P183">
        <f t="shared" si="107"/>
        <v>0.99999362039264306</v>
      </c>
      <c r="R183">
        <f t="shared" si="111"/>
        <v>930176742.10259211</v>
      </c>
      <c r="S183">
        <f t="shared" si="108"/>
        <v>0.99983991420882301</v>
      </c>
    </row>
    <row r="184" spans="6:19" x14ac:dyDescent="0.3">
      <c r="F184">
        <v>100</v>
      </c>
      <c r="G184">
        <f t="shared" si="109"/>
        <v>373</v>
      </c>
      <c r="H184">
        <f t="shared" si="105"/>
        <v>31.112511865534216</v>
      </c>
      <c r="J184">
        <v>0.2</v>
      </c>
      <c r="K184">
        <f t="shared" si="113"/>
        <v>562878959.6936866</v>
      </c>
      <c r="L184">
        <f t="shared" si="106"/>
        <v>0.99973546656984069</v>
      </c>
      <c r="N184">
        <v>2</v>
      </c>
      <c r="O184">
        <f t="shared" si="110"/>
        <v>691365958.684515</v>
      </c>
      <c r="P184">
        <f t="shared" si="107"/>
        <v>0.99978462352590325</v>
      </c>
      <c r="R184">
        <f t="shared" si="111"/>
        <v>562878959.6936866</v>
      </c>
      <c r="S184">
        <f t="shared" si="108"/>
        <v>0.99973546656984069</v>
      </c>
    </row>
    <row r="185" spans="6:19" x14ac:dyDescent="0.3">
      <c r="F185">
        <v>100</v>
      </c>
      <c r="G185">
        <f t="shared" si="109"/>
        <v>373</v>
      </c>
      <c r="H185">
        <f t="shared" si="105"/>
        <v>31.112511865534216</v>
      </c>
      <c r="J185">
        <v>0.3</v>
      </c>
      <c r="K185">
        <f t="shared" ref="K185:K204" si="114">$C$7*EXP($C$5*H185)*EXP(-$C$6*J185)</f>
        <v>340615615.2105794</v>
      </c>
      <c r="L185">
        <f t="shared" si="106"/>
        <v>0.9995628871855563</v>
      </c>
      <c r="N185">
        <v>3</v>
      </c>
      <c r="O185">
        <f t="shared" si="110"/>
        <v>88231209.623149917</v>
      </c>
      <c r="P185">
        <f t="shared" si="107"/>
        <v>0.9983135854661227</v>
      </c>
      <c r="R185">
        <f t="shared" si="111"/>
        <v>88231209.623149917</v>
      </c>
      <c r="S185">
        <f t="shared" si="108"/>
        <v>0.9983135854661227</v>
      </c>
    </row>
    <row r="186" spans="6:19" x14ac:dyDescent="0.3">
      <c r="F186">
        <v>100</v>
      </c>
      <c r="G186">
        <f t="shared" si="109"/>
        <v>373</v>
      </c>
      <c r="H186">
        <f t="shared" si="105"/>
        <v>31.112511865534216</v>
      </c>
      <c r="J186">
        <v>0.4</v>
      </c>
      <c r="K186">
        <f t="shared" si="114"/>
        <v>206117132.87065828</v>
      </c>
      <c r="L186">
        <f t="shared" si="106"/>
        <v>0.99927775913920203</v>
      </c>
      <c r="N186">
        <v>4</v>
      </c>
      <c r="O186">
        <f t="shared" si="110"/>
        <v>20476621.0006916</v>
      </c>
      <c r="P186">
        <f t="shared" si="107"/>
        <v>0.99275369767713395</v>
      </c>
      <c r="R186">
        <f t="shared" si="111"/>
        <v>20476621.0006916</v>
      </c>
      <c r="S186">
        <f t="shared" si="108"/>
        <v>0.99275369767713395</v>
      </c>
    </row>
    <row r="187" spans="6:19" x14ac:dyDescent="0.3">
      <c r="F187">
        <v>100</v>
      </c>
      <c r="G187">
        <f t="shared" si="109"/>
        <v>373</v>
      </c>
      <c r="H187">
        <f t="shared" si="105"/>
        <v>31.112511865534216</v>
      </c>
      <c r="J187">
        <v>0.5</v>
      </c>
      <c r="K187">
        <f t="shared" si="114"/>
        <v>124727906.0783971</v>
      </c>
      <c r="L187">
        <f t="shared" si="106"/>
        <v>0.99880675353361426</v>
      </c>
      <c r="N187">
        <v>5</v>
      </c>
      <c r="O187">
        <f t="shared" si="110"/>
        <v>6594887.5083710868</v>
      </c>
      <c r="P187">
        <f t="shared" si="107"/>
        <v>0.97767191725615776</v>
      </c>
      <c r="R187">
        <f t="shared" si="111"/>
        <v>6594887.5083710868</v>
      </c>
      <c r="S187">
        <f t="shared" si="108"/>
        <v>0.97767191725615776</v>
      </c>
    </row>
    <row r="188" spans="6:19" x14ac:dyDescent="0.3">
      <c r="F188">
        <v>100</v>
      </c>
      <c r="G188">
        <f t="shared" si="109"/>
        <v>373</v>
      </c>
      <c r="H188">
        <f t="shared" si="105"/>
        <v>31.112511865534216</v>
      </c>
      <c r="J188">
        <v>0.6</v>
      </c>
      <c r="K188">
        <f t="shared" si="114"/>
        <v>75476746.343370393</v>
      </c>
      <c r="L188">
        <f t="shared" si="106"/>
        <v>0.99802888717541849</v>
      </c>
      <c r="N188">
        <v>6</v>
      </c>
      <c r="O188">
        <f t="shared" si="110"/>
        <v>2613199.3008788549</v>
      </c>
      <c r="P188">
        <f t="shared" si="107"/>
        <v>0.94460576667377272</v>
      </c>
      <c r="R188">
        <f t="shared" si="111"/>
        <v>2613199.3008788549</v>
      </c>
      <c r="S188">
        <f t="shared" si="108"/>
        <v>0.94460576667377272</v>
      </c>
    </row>
    <row r="189" spans="6:19" x14ac:dyDescent="0.3">
      <c r="F189">
        <v>100</v>
      </c>
      <c r="G189">
        <f t="shared" si="109"/>
        <v>373</v>
      </c>
      <c r="H189">
        <f t="shared" si="105"/>
        <v>31.112511865534216</v>
      </c>
      <c r="J189">
        <v>0.7</v>
      </c>
      <c r="K189">
        <f t="shared" si="114"/>
        <v>45673333.399831332</v>
      </c>
      <c r="L189">
        <f t="shared" si="106"/>
        <v>0.99674476390630162</v>
      </c>
      <c r="N189">
        <v>7</v>
      </c>
      <c r="O189">
        <f t="shared" si="110"/>
        <v>1194694.6081565986</v>
      </c>
      <c r="P189">
        <f t="shared" si="107"/>
        <v>0.88280485730935809</v>
      </c>
      <c r="R189">
        <f t="shared" si="111"/>
        <v>1194694.6081565986</v>
      </c>
      <c r="S189">
        <f t="shared" si="108"/>
        <v>0.88280485730935809</v>
      </c>
    </row>
    <row r="190" spans="6:19" x14ac:dyDescent="0.3">
      <c r="F190">
        <v>100</v>
      </c>
      <c r="G190">
        <f t="shared" si="109"/>
        <v>373</v>
      </c>
      <c r="H190">
        <f t="shared" si="105"/>
        <v>31.112511865534216</v>
      </c>
      <c r="J190">
        <v>0.8</v>
      </c>
      <c r="K190">
        <f t="shared" si="114"/>
        <v>27638358.63249791</v>
      </c>
      <c r="L190">
        <f t="shared" si="106"/>
        <v>0.99462632644290061</v>
      </c>
      <c r="N190">
        <v>8</v>
      </c>
      <c r="O190">
        <f t="shared" si="110"/>
        <v>606468.9797625636</v>
      </c>
      <c r="P190">
        <f t="shared" si="107"/>
        <v>0.78227218008587918</v>
      </c>
      <c r="R190">
        <f t="shared" si="111"/>
        <v>606468.9797625636</v>
      </c>
      <c r="S190">
        <f t="shared" si="108"/>
        <v>0.78227218008587918</v>
      </c>
    </row>
    <row r="191" spans="6:19" x14ac:dyDescent="0.3">
      <c r="F191">
        <v>100</v>
      </c>
      <c r="G191">
        <f t="shared" si="109"/>
        <v>373</v>
      </c>
      <c r="H191">
        <f t="shared" si="105"/>
        <v>31.112511865534216</v>
      </c>
      <c r="J191">
        <v>0.9</v>
      </c>
      <c r="K191">
        <f t="shared" si="114"/>
        <v>16724832.873735305</v>
      </c>
      <c r="L191">
        <f t="shared" si="106"/>
        <v>0.99113539947302887</v>
      </c>
      <c r="N191">
        <v>9</v>
      </c>
      <c r="O191">
        <f t="shared" si="110"/>
        <v>333493.0399836523</v>
      </c>
      <c r="P191">
        <f t="shared" si="107"/>
        <v>0.63983429457575713</v>
      </c>
      <c r="R191">
        <f t="shared" si="111"/>
        <v>333493.0399836523</v>
      </c>
      <c r="S191">
        <f t="shared" si="108"/>
        <v>0.63983429457575713</v>
      </c>
    </row>
    <row r="192" spans="6:19" x14ac:dyDescent="0.3">
      <c r="F192">
        <v>100</v>
      </c>
      <c r="G192">
        <f t="shared" si="109"/>
        <v>373</v>
      </c>
      <c r="H192">
        <f t="shared" si="105"/>
        <v>31.112511865534216</v>
      </c>
      <c r="J192">
        <v>1</v>
      </c>
      <c r="K192">
        <f t="shared" si="114"/>
        <v>10120718.034444897</v>
      </c>
      <c r="L192">
        <f t="shared" si="106"/>
        <v>0.98539335632440117</v>
      </c>
      <c r="N192">
        <v>10</v>
      </c>
      <c r="O192">
        <f t="shared" si="110"/>
        <v>195324.93660529185</v>
      </c>
      <c r="P192">
        <f t="shared" si="107"/>
        <v>0.46653517833061481</v>
      </c>
      <c r="R192">
        <f t="shared" si="111"/>
        <v>195324.93660529185</v>
      </c>
      <c r="S192">
        <f t="shared" si="108"/>
        <v>0.46653517833061481</v>
      </c>
    </row>
    <row r="193" spans="6:19" x14ac:dyDescent="0.3">
      <c r="F193">
        <v>100</v>
      </c>
      <c r="G193">
        <f t="shared" si="109"/>
        <v>373</v>
      </c>
      <c r="H193">
        <f t="shared" si="105"/>
        <v>31.112511865534216</v>
      </c>
      <c r="J193">
        <v>1.1000000000000001</v>
      </c>
      <c r="K193">
        <f t="shared" si="114"/>
        <v>6124362.1569213169</v>
      </c>
      <c r="L193">
        <f t="shared" si="106"/>
        <v>0.97597725065198537</v>
      </c>
      <c r="N193">
        <v>11</v>
      </c>
      <c r="O193">
        <f t="shared" si="110"/>
        <v>120390.01606450662</v>
      </c>
      <c r="P193">
        <f t="shared" si="107"/>
        <v>0.29025958069063162</v>
      </c>
      <c r="R193">
        <f t="shared" si="111"/>
        <v>120390.01606450662</v>
      </c>
      <c r="S193">
        <f t="shared" si="108"/>
        <v>0.29025958069063162</v>
      </c>
    </row>
    <row r="194" spans="6:19" x14ac:dyDescent="0.3">
      <c r="F194">
        <v>100</v>
      </c>
      <c r="G194">
        <f t="shared" si="109"/>
        <v>373</v>
      </c>
      <c r="H194">
        <f t="shared" si="105"/>
        <v>31.112511865534216</v>
      </c>
      <c r="J194">
        <v>1.2</v>
      </c>
      <c r="K194">
        <f t="shared" si="114"/>
        <v>3706042.565505303</v>
      </c>
      <c r="L194">
        <f t="shared" si="106"/>
        <v>0.96061360703152743</v>
      </c>
      <c r="N194">
        <v>12</v>
      </c>
      <c r="O194">
        <f t="shared" si="110"/>
        <v>77396.769411648216</v>
      </c>
      <c r="P194">
        <f t="shared" si="107"/>
        <v>0.146005451638751</v>
      </c>
      <c r="R194">
        <f t="shared" si="111"/>
        <v>77396.769411648216</v>
      </c>
      <c r="S194">
        <f t="shared" si="108"/>
        <v>0.146005451638751</v>
      </c>
    </row>
    <row r="195" spans="6:19" x14ac:dyDescent="0.3">
      <c r="F195">
        <v>100</v>
      </c>
      <c r="G195">
        <f t="shared" si="109"/>
        <v>373</v>
      </c>
      <c r="H195">
        <f t="shared" ref="H195:H258" si="115">1/($B$18*G195)</f>
        <v>31.112511865534216</v>
      </c>
      <c r="J195">
        <v>1.3</v>
      </c>
      <c r="K195">
        <f t="shared" si="114"/>
        <v>2242641.9511810024</v>
      </c>
      <c r="L195">
        <f t="shared" ref="L195:L258" si="116">EXP(-$B$22/K195)</f>
        <v>0.93575290909344211</v>
      </c>
      <c r="N195">
        <v>13</v>
      </c>
      <c r="O195">
        <f t="shared" si="110"/>
        <v>51549.174508231554</v>
      </c>
      <c r="P195">
        <f t="shared" ref="P195:P258" si="117">EXP(-$B$22/O195)</f>
        <v>5.5637822854502354E-2</v>
      </c>
      <c r="R195">
        <f t="shared" si="111"/>
        <v>51549.174508231554</v>
      </c>
      <c r="S195">
        <f t="shared" ref="S195:S258" si="118">EXP(-$B$22/R195)</f>
        <v>5.5637822854502354E-2</v>
      </c>
    </row>
    <row r="196" spans="6:19" x14ac:dyDescent="0.3">
      <c r="F196">
        <v>100</v>
      </c>
      <c r="G196">
        <f t="shared" ref="G196:G242" si="119">F196+273</f>
        <v>373</v>
      </c>
      <c r="H196">
        <f t="shared" si="115"/>
        <v>31.112511865534216</v>
      </c>
      <c r="J196">
        <v>1.4</v>
      </c>
      <c r="K196">
        <f t="shared" si="114"/>
        <v>1357092.5946748268</v>
      </c>
      <c r="L196">
        <f t="shared" si="116"/>
        <v>0.8960719298387273</v>
      </c>
      <c r="N196">
        <v>14</v>
      </c>
      <c r="O196">
        <f t="shared" ref="O196:O259" si="120">$C$11*POWER(N196,-$C$10)*EXP($C$9*H196)</f>
        <v>35384.022593966874</v>
      </c>
      <c r="P196">
        <f t="shared" si="117"/>
        <v>1.4865990336411387E-2</v>
      </c>
      <c r="R196">
        <f t="shared" ref="R196:R259" si="121">MIN(K196,O196)</f>
        <v>35384.022593966874</v>
      </c>
      <c r="S196">
        <f t="shared" si="118"/>
        <v>1.4865990336411387E-2</v>
      </c>
    </row>
    <row r="197" spans="6:19" x14ac:dyDescent="0.3">
      <c r="F197">
        <v>100</v>
      </c>
      <c r="G197">
        <f t="shared" si="119"/>
        <v>373</v>
      </c>
      <c r="H197">
        <f t="shared" si="115"/>
        <v>31.112511865534216</v>
      </c>
      <c r="J197">
        <v>1.5</v>
      </c>
      <c r="K197">
        <f t="shared" si="114"/>
        <v>821219.05797373806</v>
      </c>
      <c r="L197">
        <f t="shared" si="116"/>
        <v>0.83415156072953256</v>
      </c>
      <c r="N197">
        <v>15</v>
      </c>
      <c r="O197">
        <f t="shared" si="120"/>
        <v>24927.110179160743</v>
      </c>
      <c r="P197">
        <f t="shared" si="117"/>
        <v>2.5434893310122249E-3</v>
      </c>
      <c r="R197">
        <f t="shared" si="121"/>
        <v>24927.110179160743</v>
      </c>
      <c r="S197">
        <f t="shared" si="118"/>
        <v>2.5434893310122249E-3</v>
      </c>
    </row>
    <row r="198" spans="6:19" x14ac:dyDescent="0.3">
      <c r="F198">
        <v>100</v>
      </c>
      <c r="G198">
        <f t="shared" si="119"/>
        <v>373</v>
      </c>
      <c r="H198">
        <f t="shared" si="115"/>
        <v>31.112511865534216</v>
      </c>
      <c r="J198">
        <v>1.6</v>
      </c>
      <c r="K198">
        <f t="shared" si="114"/>
        <v>496945.2665393611</v>
      </c>
      <c r="L198">
        <f t="shared" si="116"/>
        <v>0.7410621166830722</v>
      </c>
      <c r="N198">
        <v>16</v>
      </c>
      <c r="O198">
        <f t="shared" si="120"/>
        <v>17962.173710292416</v>
      </c>
      <c r="P198">
        <f t="shared" si="117"/>
        <v>2.5082476000604727E-4</v>
      </c>
      <c r="R198">
        <f t="shared" si="121"/>
        <v>17962.173710292416</v>
      </c>
      <c r="S198">
        <f t="shared" si="118"/>
        <v>2.5082476000604727E-4</v>
      </c>
    </row>
    <row r="199" spans="6:19" x14ac:dyDescent="0.3">
      <c r="F199">
        <v>100</v>
      </c>
      <c r="G199">
        <f t="shared" si="119"/>
        <v>373</v>
      </c>
      <c r="H199">
        <f t="shared" si="115"/>
        <v>31.112511865534216</v>
      </c>
      <c r="J199">
        <v>1.7</v>
      </c>
      <c r="K199">
        <f t="shared" si="114"/>
        <v>300717.08095183305</v>
      </c>
      <c r="L199">
        <f t="shared" si="116"/>
        <v>0.60943907172384415</v>
      </c>
      <c r="N199">
        <v>17</v>
      </c>
      <c r="O199">
        <f t="shared" si="120"/>
        <v>13203.112950596706</v>
      </c>
      <c r="P199">
        <f t="shared" si="117"/>
        <v>1.2633504035990948E-5</v>
      </c>
      <c r="R199">
        <f t="shared" si="121"/>
        <v>13203.112950596706</v>
      </c>
      <c r="S199">
        <f t="shared" si="118"/>
        <v>1.2633504035990948E-5</v>
      </c>
    </row>
    <row r="200" spans="6:19" x14ac:dyDescent="0.3">
      <c r="F200">
        <v>100</v>
      </c>
      <c r="G200">
        <f t="shared" si="119"/>
        <v>373</v>
      </c>
      <c r="H200">
        <f t="shared" si="115"/>
        <v>31.112511865534216</v>
      </c>
      <c r="J200">
        <v>1.8</v>
      </c>
      <c r="K200">
        <f t="shared" si="114"/>
        <v>181973.28531959865</v>
      </c>
      <c r="L200">
        <f t="shared" si="116"/>
        <v>0.44115372538461112</v>
      </c>
      <c r="N200">
        <v>18</v>
      </c>
      <c r="O200">
        <f t="shared" si="120"/>
        <v>9877.2733894899284</v>
      </c>
      <c r="P200">
        <f t="shared" si="117"/>
        <v>2.8322184425397699E-7</v>
      </c>
      <c r="R200">
        <f t="shared" si="121"/>
        <v>9877.2733894899284</v>
      </c>
      <c r="S200">
        <f t="shared" si="118"/>
        <v>2.8322184425397699E-7</v>
      </c>
    </row>
    <row r="201" spans="6:19" x14ac:dyDescent="0.3">
      <c r="F201">
        <v>100</v>
      </c>
      <c r="G201">
        <f t="shared" si="119"/>
        <v>373</v>
      </c>
      <c r="H201">
        <f t="shared" si="115"/>
        <v>31.112511865534216</v>
      </c>
      <c r="J201">
        <v>1.9</v>
      </c>
      <c r="K201">
        <f t="shared" si="114"/>
        <v>110117.71085697724</v>
      </c>
      <c r="L201">
        <f t="shared" si="116"/>
        <v>0.25862632715288764</v>
      </c>
      <c r="N201">
        <v>19</v>
      </c>
      <c r="O201">
        <f t="shared" si="120"/>
        <v>7506.0967601549919</v>
      </c>
      <c r="P201">
        <f t="shared" si="117"/>
        <v>2.4190954658927835E-9</v>
      </c>
      <c r="R201">
        <f t="shared" si="121"/>
        <v>7506.0967601549919</v>
      </c>
      <c r="S201">
        <f t="shared" si="118"/>
        <v>2.4190954658927835E-9</v>
      </c>
    </row>
    <row r="202" spans="6:19" x14ac:dyDescent="0.3">
      <c r="F202">
        <v>100</v>
      </c>
      <c r="G202">
        <f t="shared" si="119"/>
        <v>373</v>
      </c>
      <c r="H202">
        <f t="shared" si="115"/>
        <v>31.112511865534216</v>
      </c>
      <c r="J202">
        <v>2</v>
      </c>
      <c r="K202">
        <f t="shared" si="114"/>
        <v>66635.661509787737</v>
      </c>
      <c r="L202">
        <f t="shared" si="116"/>
        <v>0.10700931703897205</v>
      </c>
      <c r="N202">
        <v>20</v>
      </c>
      <c r="O202">
        <f t="shared" si="120"/>
        <v>5785.0616574481719</v>
      </c>
      <c r="P202">
        <f t="shared" si="117"/>
        <v>6.6118146159081179E-12</v>
      </c>
      <c r="R202">
        <f t="shared" si="121"/>
        <v>5785.0616574481719</v>
      </c>
      <c r="S202">
        <f t="shared" si="118"/>
        <v>6.6118146159081179E-12</v>
      </c>
    </row>
    <row r="203" spans="6:19" x14ac:dyDescent="0.3">
      <c r="F203">
        <v>110</v>
      </c>
      <c r="G203">
        <f t="shared" si="119"/>
        <v>383</v>
      </c>
      <c r="H203">
        <f t="shared" si="115"/>
        <v>30.300174741107728</v>
      </c>
      <c r="J203">
        <v>0.1</v>
      </c>
      <c r="K203">
        <f t="shared" si="114"/>
        <v>607026646.14239538</v>
      </c>
      <c r="L203">
        <f t="shared" si="116"/>
        <v>0.99975470313305892</v>
      </c>
      <c r="N203">
        <v>1</v>
      </c>
      <c r="O203">
        <f t="shared" si="120"/>
        <v>17421336215.476387</v>
      </c>
      <c r="P203">
        <f t="shared" si="117"/>
        <v>0.99999145189773819</v>
      </c>
      <c r="R203">
        <f t="shared" si="121"/>
        <v>607026646.14239538</v>
      </c>
      <c r="S203">
        <f t="shared" si="118"/>
        <v>0.99975470313305892</v>
      </c>
    </row>
    <row r="204" spans="6:19" x14ac:dyDescent="0.3">
      <c r="F204">
        <v>110</v>
      </c>
      <c r="G204">
        <f t="shared" si="119"/>
        <v>383</v>
      </c>
      <c r="H204">
        <f t="shared" si="115"/>
        <v>30.300174741107728</v>
      </c>
      <c r="J204">
        <v>0.2</v>
      </c>
      <c r="K204">
        <f t="shared" si="114"/>
        <v>367330757.28665543</v>
      </c>
      <c r="L204">
        <f t="shared" si="116"/>
        <v>0.99959467097647514</v>
      </c>
      <c r="N204">
        <v>2</v>
      </c>
      <c r="O204">
        <f t="shared" si="120"/>
        <v>515978686.14864278</v>
      </c>
      <c r="P204">
        <f t="shared" si="117"/>
        <v>0.99971142507302235</v>
      </c>
      <c r="R204">
        <f t="shared" si="121"/>
        <v>367330757.28665543</v>
      </c>
      <c r="S204">
        <f t="shared" si="118"/>
        <v>0.99959467097647514</v>
      </c>
    </row>
    <row r="205" spans="6:19" x14ac:dyDescent="0.3">
      <c r="F205">
        <v>110</v>
      </c>
      <c r="G205">
        <f t="shared" si="119"/>
        <v>383</v>
      </c>
      <c r="H205">
        <f t="shared" si="115"/>
        <v>30.300174741107728</v>
      </c>
      <c r="J205">
        <v>0.3</v>
      </c>
      <c r="K205">
        <f t="shared" ref="K205:K224" si="122">$C$7*EXP($C$5*H205)*EXP(-$C$6*J205)</f>
        <v>222283298.61014974</v>
      </c>
      <c r="L205">
        <f t="shared" si="116"/>
        <v>0.99933026850350271</v>
      </c>
      <c r="N205">
        <v>3</v>
      </c>
      <c r="O205">
        <f t="shared" si="120"/>
        <v>65848517.773830108</v>
      </c>
      <c r="P205">
        <f t="shared" si="117"/>
        <v>0.99774100106475605</v>
      </c>
      <c r="R205">
        <f t="shared" si="121"/>
        <v>65848517.773830108</v>
      </c>
      <c r="S205">
        <f t="shared" si="118"/>
        <v>0.99774100106475605</v>
      </c>
    </row>
    <row r="206" spans="6:19" x14ac:dyDescent="0.3">
      <c r="F206">
        <v>110</v>
      </c>
      <c r="G206">
        <f t="shared" si="119"/>
        <v>383</v>
      </c>
      <c r="H206">
        <f t="shared" si="115"/>
        <v>30.300174741107728</v>
      </c>
      <c r="J206">
        <v>0.4</v>
      </c>
      <c r="K206">
        <f t="shared" si="122"/>
        <v>134510557.20458174</v>
      </c>
      <c r="L206">
        <f t="shared" si="116"/>
        <v>0.99889348764156427</v>
      </c>
      <c r="N206">
        <v>4</v>
      </c>
      <c r="O206">
        <f t="shared" si="120"/>
        <v>15282065.696153</v>
      </c>
      <c r="P206">
        <f t="shared" si="117"/>
        <v>0.99030257037205227</v>
      </c>
      <c r="R206">
        <f t="shared" si="121"/>
        <v>15282065.696153</v>
      </c>
      <c r="S206">
        <f t="shared" si="118"/>
        <v>0.99030257037205227</v>
      </c>
    </row>
    <row r="207" spans="6:19" x14ac:dyDescent="0.3">
      <c r="F207">
        <v>110</v>
      </c>
      <c r="G207">
        <f t="shared" si="119"/>
        <v>383</v>
      </c>
      <c r="H207">
        <f t="shared" si="115"/>
        <v>30.300174741107728</v>
      </c>
      <c r="J207">
        <v>0.5</v>
      </c>
      <c r="K207">
        <f t="shared" si="122"/>
        <v>81396533.669493154</v>
      </c>
      <c r="L207">
        <f t="shared" si="116"/>
        <v>0.99817211068884026</v>
      </c>
      <c r="N207">
        <v>5</v>
      </c>
      <c r="O207">
        <f t="shared" si="120"/>
        <v>4921881.6013766006</v>
      </c>
      <c r="P207">
        <f t="shared" si="117"/>
        <v>0.97019643146305001</v>
      </c>
      <c r="R207">
        <f t="shared" si="121"/>
        <v>4921881.6013766006</v>
      </c>
      <c r="S207">
        <f t="shared" si="118"/>
        <v>0.97019643146305001</v>
      </c>
    </row>
    <row r="208" spans="6:19" x14ac:dyDescent="0.3">
      <c r="F208">
        <v>110</v>
      </c>
      <c r="G208">
        <f t="shared" si="119"/>
        <v>383</v>
      </c>
      <c r="H208">
        <f t="shared" si="115"/>
        <v>30.300174741107728</v>
      </c>
      <c r="J208">
        <v>0.6</v>
      </c>
      <c r="K208">
        <f t="shared" si="122"/>
        <v>49255581.354347825</v>
      </c>
      <c r="L208">
        <f t="shared" si="116"/>
        <v>0.99698115220172989</v>
      </c>
      <c r="N208">
        <v>6</v>
      </c>
      <c r="O208">
        <f t="shared" si="120"/>
        <v>1950277.0204040471</v>
      </c>
      <c r="P208">
        <f t="shared" si="117"/>
        <v>0.92648411074713677</v>
      </c>
      <c r="R208">
        <f t="shared" si="121"/>
        <v>1950277.0204040471</v>
      </c>
      <c r="S208">
        <f t="shared" si="118"/>
        <v>0.92648411074713677</v>
      </c>
    </row>
    <row r="209" spans="6:19" x14ac:dyDescent="0.3">
      <c r="F209">
        <v>110</v>
      </c>
      <c r="G209">
        <f t="shared" si="119"/>
        <v>383</v>
      </c>
      <c r="H209">
        <f t="shared" si="115"/>
        <v>30.300174741107728</v>
      </c>
      <c r="J209">
        <v>0.7</v>
      </c>
      <c r="K209">
        <f t="shared" si="122"/>
        <v>29806088.603304591</v>
      </c>
      <c r="L209">
        <f t="shared" si="116"/>
        <v>0.99501616610325749</v>
      </c>
      <c r="N209">
        <v>7</v>
      </c>
      <c r="O209">
        <f t="shared" si="120"/>
        <v>891621.79092303663</v>
      </c>
      <c r="P209">
        <f t="shared" si="117"/>
        <v>0.84618142673751251</v>
      </c>
      <c r="R209">
        <f t="shared" si="121"/>
        <v>891621.79092303663</v>
      </c>
      <c r="S209">
        <f t="shared" si="118"/>
        <v>0.84618142673751251</v>
      </c>
    </row>
    <row r="210" spans="6:19" x14ac:dyDescent="0.3">
      <c r="F210">
        <v>110</v>
      </c>
      <c r="G210">
        <f t="shared" si="119"/>
        <v>383</v>
      </c>
      <c r="H210">
        <f t="shared" si="115"/>
        <v>30.300174741107728</v>
      </c>
      <c r="J210">
        <v>0.8</v>
      </c>
      <c r="K210">
        <f t="shared" si="122"/>
        <v>18036593.892513726</v>
      </c>
      <c r="L210">
        <f t="shared" si="116"/>
        <v>0.9917774438544128</v>
      </c>
      <c r="N210">
        <v>8</v>
      </c>
      <c r="O210">
        <f t="shared" si="120"/>
        <v>452618.56392699509</v>
      </c>
      <c r="P210">
        <f t="shared" si="117"/>
        <v>0.71962951423423871</v>
      </c>
      <c r="R210">
        <f t="shared" si="121"/>
        <v>452618.56392699509</v>
      </c>
      <c r="S210">
        <f t="shared" si="118"/>
        <v>0.71962951423423871</v>
      </c>
    </row>
    <row r="211" spans="6:19" x14ac:dyDescent="0.3">
      <c r="F211">
        <v>110</v>
      </c>
      <c r="G211">
        <f t="shared" si="119"/>
        <v>383</v>
      </c>
      <c r="H211">
        <f t="shared" si="115"/>
        <v>30.300174741107728</v>
      </c>
      <c r="J211">
        <v>0.9</v>
      </c>
      <c r="K211">
        <f t="shared" si="122"/>
        <v>10914505.541911175</v>
      </c>
      <c r="L211">
        <f t="shared" si="116"/>
        <v>0.98644843276450034</v>
      </c>
      <c r="N211">
        <v>9</v>
      </c>
      <c r="O211">
        <f t="shared" si="120"/>
        <v>248891.77496950398</v>
      </c>
      <c r="P211">
        <f t="shared" si="117"/>
        <v>0.54972762673576081</v>
      </c>
      <c r="R211">
        <f t="shared" si="121"/>
        <v>248891.77496950398</v>
      </c>
      <c r="S211">
        <f t="shared" si="118"/>
        <v>0.54972762673576081</v>
      </c>
    </row>
    <row r="212" spans="6:19" x14ac:dyDescent="0.3">
      <c r="F212">
        <v>110</v>
      </c>
      <c r="G212">
        <f t="shared" si="119"/>
        <v>383</v>
      </c>
      <c r="H212">
        <f t="shared" si="115"/>
        <v>30.300174741107728</v>
      </c>
      <c r="J212">
        <v>1</v>
      </c>
      <c r="K212">
        <f t="shared" si="122"/>
        <v>6604707.7366339387</v>
      </c>
      <c r="L212">
        <f t="shared" si="116"/>
        <v>0.97770474295986098</v>
      </c>
      <c r="N212">
        <v>10</v>
      </c>
      <c r="O212">
        <f t="shared" si="120"/>
        <v>145774.46704698849</v>
      </c>
      <c r="P212">
        <f t="shared" si="117"/>
        <v>0.36002634166757252</v>
      </c>
      <c r="R212">
        <f t="shared" si="121"/>
        <v>145774.46704698849</v>
      </c>
      <c r="S212">
        <f t="shared" si="118"/>
        <v>0.36002634166757252</v>
      </c>
    </row>
    <row r="213" spans="6:19" x14ac:dyDescent="0.3">
      <c r="F213">
        <v>110</v>
      </c>
      <c r="G213">
        <f t="shared" si="119"/>
        <v>383</v>
      </c>
      <c r="H213">
        <f t="shared" si="115"/>
        <v>30.300174741107728</v>
      </c>
      <c r="J213">
        <v>1.1000000000000001</v>
      </c>
      <c r="K213">
        <f t="shared" si="122"/>
        <v>3996714.6581991427</v>
      </c>
      <c r="L213">
        <f t="shared" si="116"/>
        <v>0.96342503073993457</v>
      </c>
      <c r="N213">
        <v>11</v>
      </c>
      <c r="O213">
        <f t="shared" si="120"/>
        <v>89849.205813623528</v>
      </c>
      <c r="P213">
        <f t="shared" si="117"/>
        <v>0.19062565442065887</v>
      </c>
      <c r="R213">
        <f t="shared" si="121"/>
        <v>89849.205813623528</v>
      </c>
      <c r="S213">
        <f t="shared" si="118"/>
        <v>0.19062565442065887</v>
      </c>
    </row>
    <row r="214" spans="6:19" x14ac:dyDescent="0.3">
      <c r="F214">
        <v>110</v>
      </c>
      <c r="G214">
        <f t="shared" si="119"/>
        <v>383</v>
      </c>
      <c r="H214">
        <f t="shared" si="115"/>
        <v>30.300174741107728</v>
      </c>
      <c r="J214">
        <v>1.2</v>
      </c>
      <c r="K214">
        <f t="shared" si="122"/>
        <v>2418536.7007934931</v>
      </c>
      <c r="L214">
        <f t="shared" si="116"/>
        <v>0.94028296517774446</v>
      </c>
      <c r="N214">
        <v>12</v>
      </c>
      <c r="O214">
        <f t="shared" si="120"/>
        <v>57762.582741501363</v>
      </c>
      <c r="P214">
        <f t="shared" si="117"/>
        <v>7.5915107772933851E-2</v>
      </c>
      <c r="R214">
        <f t="shared" si="121"/>
        <v>57762.582741501363</v>
      </c>
      <c r="S214">
        <f t="shared" si="118"/>
        <v>7.5915107772933851E-2</v>
      </c>
    </row>
    <row r="215" spans="6:19" x14ac:dyDescent="0.3">
      <c r="F215">
        <v>110</v>
      </c>
      <c r="G215">
        <f t="shared" si="119"/>
        <v>383</v>
      </c>
      <c r="H215">
        <f t="shared" si="115"/>
        <v>30.300174741107728</v>
      </c>
      <c r="J215">
        <v>1.3</v>
      </c>
      <c r="K215">
        <f t="shared" si="122"/>
        <v>1463531.9939804459</v>
      </c>
      <c r="L215">
        <f t="shared" si="116"/>
        <v>0.90325186900122079</v>
      </c>
      <c r="N215">
        <v>13</v>
      </c>
      <c r="O215">
        <f t="shared" si="120"/>
        <v>38472.063891334554</v>
      </c>
      <c r="P215">
        <f t="shared" si="117"/>
        <v>2.0840424439724146E-2</v>
      </c>
      <c r="R215">
        <f t="shared" si="121"/>
        <v>38472.063891334554</v>
      </c>
      <c r="S215">
        <f t="shared" si="118"/>
        <v>2.0840424439724146E-2</v>
      </c>
    </row>
    <row r="216" spans="6:19" x14ac:dyDescent="0.3">
      <c r="F216">
        <v>110</v>
      </c>
      <c r="G216">
        <f t="shared" si="119"/>
        <v>383</v>
      </c>
      <c r="H216">
        <f t="shared" si="115"/>
        <v>30.300174741107728</v>
      </c>
      <c r="J216">
        <v>1.4</v>
      </c>
      <c r="K216">
        <f t="shared" si="122"/>
        <v>885628.85843396292</v>
      </c>
      <c r="L216">
        <f t="shared" si="116"/>
        <v>0.84522560243520073</v>
      </c>
      <c r="N216">
        <v>14</v>
      </c>
      <c r="O216">
        <f t="shared" si="120"/>
        <v>26407.724099444935</v>
      </c>
      <c r="P216">
        <f t="shared" si="117"/>
        <v>3.5555014915131036E-3</v>
      </c>
      <c r="R216">
        <f t="shared" si="121"/>
        <v>26407.724099444935</v>
      </c>
      <c r="S216">
        <f t="shared" si="118"/>
        <v>3.5555014915131036E-3</v>
      </c>
    </row>
    <row r="217" spans="6:19" x14ac:dyDescent="0.3">
      <c r="F217">
        <v>110</v>
      </c>
      <c r="G217">
        <f t="shared" si="119"/>
        <v>383</v>
      </c>
      <c r="H217">
        <f t="shared" si="115"/>
        <v>30.300174741107728</v>
      </c>
      <c r="J217">
        <v>1.5</v>
      </c>
      <c r="K217">
        <f t="shared" si="122"/>
        <v>535921.64579732553</v>
      </c>
      <c r="L217">
        <f t="shared" si="116"/>
        <v>0.75739039755249071</v>
      </c>
      <c r="N217">
        <v>15</v>
      </c>
      <c r="O217">
        <f t="shared" si="120"/>
        <v>18603.544762600843</v>
      </c>
      <c r="P217">
        <f t="shared" si="117"/>
        <v>3.3381418737158205E-4</v>
      </c>
      <c r="R217">
        <f t="shared" si="121"/>
        <v>18603.544762600843</v>
      </c>
      <c r="S217">
        <f t="shared" si="118"/>
        <v>3.3381418737158205E-4</v>
      </c>
    </row>
    <row r="218" spans="6:19" x14ac:dyDescent="0.3">
      <c r="F218">
        <v>110</v>
      </c>
      <c r="G218">
        <f t="shared" si="119"/>
        <v>383</v>
      </c>
      <c r="H218">
        <f t="shared" si="115"/>
        <v>30.300174741107728</v>
      </c>
      <c r="J218">
        <v>1.6</v>
      </c>
      <c r="K218">
        <f t="shared" si="122"/>
        <v>324302.90374907723</v>
      </c>
      <c r="L218">
        <f t="shared" si="116"/>
        <v>0.63178866681889401</v>
      </c>
      <c r="N218">
        <v>16</v>
      </c>
      <c r="O218">
        <f t="shared" si="120"/>
        <v>13405.489053937647</v>
      </c>
      <c r="P218">
        <f t="shared" si="117"/>
        <v>1.497868609299439E-5</v>
      </c>
      <c r="R218">
        <f t="shared" si="121"/>
        <v>13405.489053937647</v>
      </c>
      <c r="S218">
        <f t="shared" si="118"/>
        <v>1.497868609299439E-5</v>
      </c>
    </row>
    <row r="219" spans="6:19" x14ac:dyDescent="0.3">
      <c r="F219">
        <v>110</v>
      </c>
      <c r="G219">
        <f t="shared" si="119"/>
        <v>383</v>
      </c>
      <c r="H219">
        <f t="shared" si="115"/>
        <v>30.300174741107728</v>
      </c>
      <c r="J219">
        <v>1.7</v>
      </c>
      <c r="K219">
        <f t="shared" si="122"/>
        <v>196245.80235719244</v>
      </c>
      <c r="L219">
        <f t="shared" si="116"/>
        <v>0.46820724185918927</v>
      </c>
      <c r="N219">
        <v>17</v>
      </c>
      <c r="O219">
        <f t="shared" si="120"/>
        <v>9853.7175395262966</v>
      </c>
      <c r="P219">
        <f t="shared" si="117"/>
        <v>2.7319559833339953E-7</v>
      </c>
      <c r="R219">
        <f t="shared" si="121"/>
        <v>9853.7175395262966</v>
      </c>
      <c r="S219">
        <f t="shared" si="118"/>
        <v>2.7319559833339953E-7</v>
      </c>
    </row>
    <row r="220" spans="6:19" x14ac:dyDescent="0.3">
      <c r="F220">
        <v>110</v>
      </c>
      <c r="G220">
        <f t="shared" si="119"/>
        <v>383</v>
      </c>
      <c r="H220">
        <f t="shared" si="115"/>
        <v>30.300174741107728</v>
      </c>
      <c r="J220">
        <v>1.8</v>
      </c>
      <c r="K220">
        <f t="shared" si="122"/>
        <v>118754.45608904066</v>
      </c>
      <c r="L220">
        <f t="shared" si="116"/>
        <v>0.28535647209935516</v>
      </c>
      <c r="N220">
        <v>18</v>
      </c>
      <c r="O220">
        <f t="shared" si="120"/>
        <v>7371.5844441302461</v>
      </c>
      <c r="P220">
        <f t="shared" si="117"/>
        <v>1.6843292868744071E-9</v>
      </c>
      <c r="R220">
        <f t="shared" si="121"/>
        <v>7371.5844441302461</v>
      </c>
      <c r="S220">
        <f t="shared" si="118"/>
        <v>1.6843292868744071E-9</v>
      </c>
    </row>
    <row r="221" spans="6:19" x14ac:dyDescent="0.3">
      <c r="F221">
        <v>110</v>
      </c>
      <c r="G221">
        <f t="shared" si="119"/>
        <v>383</v>
      </c>
      <c r="H221">
        <f t="shared" si="115"/>
        <v>30.300174741107728</v>
      </c>
      <c r="J221">
        <v>1.9</v>
      </c>
      <c r="K221">
        <f t="shared" si="122"/>
        <v>71862.025437544711</v>
      </c>
      <c r="L221">
        <f t="shared" si="116"/>
        <v>0.12589531909340737</v>
      </c>
      <c r="N221">
        <v>19</v>
      </c>
      <c r="O221">
        <f t="shared" si="120"/>
        <v>5601.9332392046263</v>
      </c>
      <c r="P221">
        <f t="shared" si="117"/>
        <v>2.8500633589507724E-12</v>
      </c>
      <c r="R221">
        <f t="shared" si="121"/>
        <v>5601.9332392046263</v>
      </c>
      <c r="S221">
        <f t="shared" si="118"/>
        <v>2.8500633589507724E-12</v>
      </c>
    </row>
    <row r="222" spans="6:19" x14ac:dyDescent="0.3">
      <c r="F222">
        <v>110</v>
      </c>
      <c r="G222">
        <f t="shared" si="119"/>
        <v>383</v>
      </c>
      <c r="H222">
        <f t="shared" si="115"/>
        <v>30.300174741107728</v>
      </c>
      <c r="J222">
        <v>2</v>
      </c>
      <c r="K222">
        <f t="shared" si="122"/>
        <v>43485.953033326914</v>
      </c>
      <c r="L222">
        <f t="shared" si="116"/>
        <v>3.2563797015780965E-2</v>
      </c>
      <c r="N222">
        <v>20</v>
      </c>
      <c r="O222">
        <f t="shared" si="120"/>
        <v>4317.4941950838829</v>
      </c>
      <c r="P222">
        <f t="shared" si="117"/>
        <v>1.0476473629607921E-15</v>
      </c>
      <c r="R222">
        <f t="shared" si="121"/>
        <v>4317.4941950838829</v>
      </c>
      <c r="S222">
        <f t="shared" si="118"/>
        <v>1.0476473629607921E-15</v>
      </c>
    </row>
    <row r="223" spans="6:19" x14ac:dyDescent="0.3">
      <c r="F223">
        <v>120</v>
      </c>
      <c r="G223">
        <f t="shared" si="119"/>
        <v>393</v>
      </c>
      <c r="H223">
        <f t="shared" si="115"/>
        <v>29.529177928356905</v>
      </c>
      <c r="J223">
        <v>0.1</v>
      </c>
      <c r="K223">
        <f t="shared" si="122"/>
        <v>404839609.51133335</v>
      </c>
      <c r="L223">
        <f t="shared" si="116"/>
        <v>0.99963221826670334</v>
      </c>
      <c r="N223">
        <v>1</v>
      </c>
      <c r="O223">
        <f t="shared" si="120"/>
        <v>13196908826.469681</v>
      </c>
      <c r="P223">
        <f t="shared" si="117"/>
        <v>0.9999887156028946</v>
      </c>
      <c r="R223">
        <f t="shared" si="121"/>
        <v>404839609.51133335</v>
      </c>
      <c r="S223">
        <f t="shared" si="118"/>
        <v>0.99963221826670334</v>
      </c>
    </row>
    <row r="224" spans="6:19" x14ac:dyDescent="0.3">
      <c r="F224">
        <v>120</v>
      </c>
      <c r="G224">
        <f t="shared" si="119"/>
        <v>393</v>
      </c>
      <c r="H224">
        <f t="shared" si="115"/>
        <v>29.529177928356905</v>
      </c>
      <c r="J224">
        <v>0.2</v>
      </c>
      <c r="K224">
        <f t="shared" si="122"/>
        <v>244981075.0260669</v>
      </c>
      <c r="L224">
        <f t="shared" si="116"/>
        <v>0.99939230103331567</v>
      </c>
      <c r="N224">
        <v>2</v>
      </c>
      <c r="O224">
        <f t="shared" si="120"/>
        <v>390861159.74595183</v>
      </c>
      <c r="P224">
        <f t="shared" si="117"/>
        <v>0.99961906771683884</v>
      </c>
      <c r="R224">
        <f t="shared" si="121"/>
        <v>244981075.0260669</v>
      </c>
      <c r="S224">
        <f t="shared" si="118"/>
        <v>0.99939230103331567</v>
      </c>
    </row>
    <row r="225" spans="6:19" x14ac:dyDescent="0.3">
      <c r="F225">
        <v>120</v>
      </c>
      <c r="G225">
        <f t="shared" si="119"/>
        <v>393</v>
      </c>
      <c r="H225">
        <f t="shared" si="115"/>
        <v>29.529177928356905</v>
      </c>
      <c r="J225">
        <v>0.3</v>
      </c>
      <c r="K225">
        <f t="shared" ref="K225:K240" si="123">$C$7*EXP($C$5*H225)*EXP(-$C$6*J225)</f>
        <v>148245689.6778706</v>
      </c>
      <c r="L225">
        <f t="shared" si="116"/>
        <v>0.99899595579018385</v>
      </c>
      <c r="N225">
        <v>3</v>
      </c>
      <c r="O225">
        <f t="shared" si="120"/>
        <v>49881184.466632567</v>
      </c>
      <c r="P225">
        <f t="shared" si="117"/>
        <v>0.9970189576945222</v>
      </c>
      <c r="R225">
        <f t="shared" si="121"/>
        <v>49881184.466632567</v>
      </c>
      <c r="S225">
        <f t="shared" si="118"/>
        <v>0.9970189576945222</v>
      </c>
    </row>
    <row r="226" spans="6:19" x14ac:dyDescent="0.3">
      <c r="F226">
        <v>120</v>
      </c>
      <c r="G226">
        <f t="shared" si="119"/>
        <v>393</v>
      </c>
      <c r="H226">
        <f t="shared" si="115"/>
        <v>29.529177928356905</v>
      </c>
      <c r="J226">
        <v>0.4</v>
      </c>
      <c r="K226">
        <f t="shared" si="123"/>
        <v>89708090.74018921</v>
      </c>
      <c r="L226">
        <f t="shared" si="116"/>
        <v>0.9983413261864188</v>
      </c>
      <c r="N226">
        <v>4</v>
      </c>
      <c r="O226">
        <f t="shared" si="120"/>
        <v>11576381.121276477</v>
      </c>
      <c r="P226">
        <f t="shared" si="117"/>
        <v>0.98721826536546864</v>
      </c>
      <c r="R226">
        <f t="shared" si="121"/>
        <v>11576381.121276477</v>
      </c>
      <c r="S226">
        <f t="shared" si="118"/>
        <v>0.98721826536546864</v>
      </c>
    </row>
    <row r="227" spans="6:19" x14ac:dyDescent="0.3">
      <c r="F227">
        <v>120</v>
      </c>
      <c r="G227">
        <f t="shared" si="119"/>
        <v>393</v>
      </c>
      <c r="H227">
        <f t="shared" si="115"/>
        <v>29.529177928356905</v>
      </c>
      <c r="J227">
        <v>0.5</v>
      </c>
      <c r="K227">
        <f t="shared" si="123"/>
        <v>54285163.782750554</v>
      </c>
      <c r="L227">
        <f t="shared" si="116"/>
        <v>0.99726046840703131</v>
      </c>
      <c r="N227">
        <v>5</v>
      </c>
      <c r="O227">
        <f t="shared" si="120"/>
        <v>3728394.9947733344</v>
      </c>
      <c r="P227">
        <f t="shared" si="117"/>
        <v>0.96084505132884446</v>
      </c>
      <c r="R227">
        <f t="shared" si="121"/>
        <v>3728394.9947733344</v>
      </c>
      <c r="S227">
        <f t="shared" si="118"/>
        <v>0.96084505132884446</v>
      </c>
    </row>
    <row r="228" spans="6:19" x14ac:dyDescent="0.3">
      <c r="F228">
        <v>120</v>
      </c>
      <c r="G228">
        <f t="shared" si="119"/>
        <v>393</v>
      </c>
      <c r="H228">
        <f t="shared" si="115"/>
        <v>29.529177928356905</v>
      </c>
      <c r="J228">
        <v>0.6</v>
      </c>
      <c r="K228">
        <f t="shared" si="123"/>
        <v>32849645.807921</v>
      </c>
      <c r="L228">
        <f t="shared" si="116"/>
        <v>0.99547687805399088</v>
      </c>
      <c r="N228">
        <v>6</v>
      </c>
      <c r="O228">
        <f t="shared" si="120"/>
        <v>1477362.4540789772</v>
      </c>
      <c r="P228">
        <f t="shared" si="117"/>
        <v>0.90411269646054626</v>
      </c>
      <c r="R228">
        <f t="shared" si="121"/>
        <v>1477362.4540789772</v>
      </c>
      <c r="S228">
        <f t="shared" si="118"/>
        <v>0.90411269646054626</v>
      </c>
    </row>
    <row r="229" spans="6:19" x14ac:dyDescent="0.3">
      <c r="F229">
        <v>120</v>
      </c>
      <c r="G229">
        <f t="shared" si="119"/>
        <v>393</v>
      </c>
      <c r="H229">
        <f t="shared" si="115"/>
        <v>29.529177928356905</v>
      </c>
      <c r="J229">
        <v>0.7</v>
      </c>
      <c r="K229">
        <f t="shared" si="123"/>
        <v>19878345.288307901</v>
      </c>
      <c r="L229">
        <f t="shared" si="116"/>
        <v>0.99253642262542741</v>
      </c>
      <c r="N229">
        <v>7</v>
      </c>
      <c r="O229">
        <f t="shared" si="120"/>
        <v>675416.1297944485</v>
      </c>
      <c r="P229">
        <f t="shared" si="117"/>
        <v>0.80212863200862528</v>
      </c>
      <c r="R229">
        <f t="shared" si="121"/>
        <v>675416.1297944485</v>
      </c>
      <c r="S229">
        <f t="shared" si="118"/>
        <v>0.80212863200862528</v>
      </c>
    </row>
    <row r="230" spans="6:19" x14ac:dyDescent="0.3">
      <c r="F230">
        <v>120</v>
      </c>
      <c r="G230">
        <f t="shared" si="119"/>
        <v>393</v>
      </c>
      <c r="H230">
        <f t="shared" si="115"/>
        <v>29.529177928356905</v>
      </c>
      <c r="J230">
        <v>0.8</v>
      </c>
      <c r="K230">
        <f t="shared" si="123"/>
        <v>12029006.757385213</v>
      </c>
      <c r="L230">
        <f t="shared" si="116"/>
        <v>0.9876962433424219</v>
      </c>
      <c r="N230">
        <v>8</v>
      </c>
      <c r="O230">
        <f t="shared" si="120"/>
        <v>342864.97013965447</v>
      </c>
      <c r="P230">
        <f t="shared" si="117"/>
        <v>0.64769194822731635</v>
      </c>
      <c r="R230">
        <f t="shared" si="121"/>
        <v>342864.97013965447</v>
      </c>
      <c r="S230">
        <f t="shared" si="118"/>
        <v>0.64769194822731635</v>
      </c>
    </row>
    <row r="231" spans="6:19" x14ac:dyDescent="0.3">
      <c r="F231">
        <v>120</v>
      </c>
      <c r="G231">
        <f t="shared" si="119"/>
        <v>393</v>
      </c>
      <c r="H231">
        <f t="shared" si="115"/>
        <v>29.529177928356905</v>
      </c>
      <c r="J231">
        <v>0.9</v>
      </c>
      <c r="K231">
        <f t="shared" si="123"/>
        <v>7279127.1844104342</v>
      </c>
      <c r="L231">
        <f t="shared" si="116"/>
        <v>0.97974935839242083</v>
      </c>
      <c r="N231">
        <v>9</v>
      </c>
      <c r="O231">
        <f t="shared" si="120"/>
        <v>188539.04323440179</v>
      </c>
      <c r="P231">
        <f t="shared" si="117"/>
        <v>0.45390701072086059</v>
      </c>
      <c r="R231">
        <f t="shared" si="121"/>
        <v>188539.04323440179</v>
      </c>
      <c r="S231">
        <f t="shared" si="118"/>
        <v>0.45390701072086059</v>
      </c>
    </row>
    <row r="232" spans="6:19" x14ac:dyDescent="0.3">
      <c r="F232">
        <v>120</v>
      </c>
      <c r="G232">
        <f t="shared" si="119"/>
        <v>393</v>
      </c>
      <c r="H232">
        <f t="shared" si="115"/>
        <v>29.529177928356905</v>
      </c>
      <c r="J232">
        <v>1</v>
      </c>
      <c r="K232">
        <f t="shared" si="123"/>
        <v>4404826.9017965626</v>
      </c>
      <c r="L232">
        <f t="shared" si="116"/>
        <v>0.96675675036408371</v>
      </c>
      <c r="N232">
        <v>10</v>
      </c>
      <c r="O232">
        <f t="shared" si="120"/>
        <v>110426.22259579129</v>
      </c>
      <c r="P232">
        <f t="shared" si="117"/>
        <v>0.25960534084574383</v>
      </c>
      <c r="R232">
        <f t="shared" si="121"/>
        <v>110426.22259579129</v>
      </c>
      <c r="S232">
        <f t="shared" si="118"/>
        <v>0.25960534084574383</v>
      </c>
    </row>
    <row r="233" spans="6:19" x14ac:dyDescent="0.3">
      <c r="F233">
        <v>120</v>
      </c>
      <c r="G233">
        <f t="shared" si="119"/>
        <v>393</v>
      </c>
      <c r="H233">
        <f t="shared" si="115"/>
        <v>29.529177928356905</v>
      </c>
      <c r="J233">
        <v>1.1000000000000001</v>
      </c>
      <c r="K233">
        <f t="shared" si="123"/>
        <v>2665498.148781443</v>
      </c>
      <c r="L233">
        <f t="shared" si="116"/>
        <v>0.94566255412085753</v>
      </c>
      <c r="N233">
        <v>11</v>
      </c>
      <c r="O233">
        <f t="shared" si="120"/>
        <v>68062.045447452227</v>
      </c>
      <c r="P233">
        <f t="shared" si="117"/>
        <v>0.11214040315302407</v>
      </c>
      <c r="R233">
        <f t="shared" si="121"/>
        <v>68062.045447452227</v>
      </c>
      <c r="S233">
        <f t="shared" si="118"/>
        <v>0.11214040315302407</v>
      </c>
    </row>
    <row r="234" spans="6:19" x14ac:dyDescent="0.3">
      <c r="F234">
        <v>120</v>
      </c>
      <c r="G234">
        <f t="shared" si="119"/>
        <v>393</v>
      </c>
      <c r="H234">
        <f t="shared" si="115"/>
        <v>29.529177928356905</v>
      </c>
      <c r="J234">
        <v>1.2</v>
      </c>
      <c r="K234">
        <f t="shared" si="123"/>
        <v>1612976.0691071635</v>
      </c>
      <c r="L234">
        <f t="shared" si="116"/>
        <v>0.91180764175319784</v>
      </c>
      <c r="N234">
        <v>12</v>
      </c>
      <c r="O234">
        <f t="shared" si="120"/>
        <v>43755.974202703241</v>
      </c>
      <c r="P234">
        <f t="shared" si="117"/>
        <v>3.3259296191633439E-2</v>
      </c>
      <c r="R234">
        <f t="shared" si="121"/>
        <v>43755.974202703241</v>
      </c>
      <c r="S234">
        <f t="shared" si="118"/>
        <v>3.3259296191633439E-2</v>
      </c>
    </row>
    <row r="235" spans="6:19" x14ac:dyDescent="0.3">
      <c r="F235">
        <v>120</v>
      </c>
      <c r="G235">
        <f t="shared" si="119"/>
        <v>393</v>
      </c>
      <c r="H235">
        <f t="shared" si="115"/>
        <v>29.529177928356905</v>
      </c>
      <c r="J235">
        <v>1.3</v>
      </c>
      <c r="K235">
        <f t="shared" si="123"/>
        <v>976062.12958796544</v>
      </c>
      <c r="L235">
        <f t="shared" si="116"/>
        <v>0.85849686114015222</v>
      </c>
      <c r="N235">
        <v>13</v>
      </c>
      <c r="O235">
        <f t="shared" si="120"/>
        <v>29143.133067429582</v>
      </c>
      <c r="P235">
        <f t="shared" si="117"/>
        <v>6.0363749625254384E-3</v>
      </c>
      <c r="R235">
        <f t="shared" si="121"/>
        <v>29143.133067429582</v>
      </c>
      <c r="S235">
        <f t="shared" si="118"/>
        <v>6.0363749625254384E-3</v>
      </c>
    </row>
    <row r="236" spans="6:19" x14ac:dyDescent="0.3">
      <c r="F236">
        <v>120</v>
      </c>
      <c r="G236">
        <f t="shared" si="119"/>
        <v>393</v>
      </c>
      <c r="H236">
        <f t="shared" si="115"/>
        <v>29.529177928356905</v>
      </c>
      <c r="J236">
        <v>1.4</v>
      </c>
      <c r="K236">
        <f t="shared" si="123"/>
        <v>590645.63886750408</v>
      </c>
      <c r="L236">
        <f t="shared" si="116"/>
        <v>0.7771430251128143</v>
      </c>
      <c r="N236">
        <v>14</v>
      </c>
      <c r="O236">
        <f t="shared" si="120"/>
        <v>20004.22487371249</v>
      </c>
      <c r="P236">
        <f t="shared" si="117"/>
        <v>5.8469079167107268E-4</v>
      </c>
      <c r="R236">
        <f t="shared" si="121"/>
        <v>20004.22487371249</v>
      </c>
      <c r="S236">
        <f t="shared" si="118"/>
        <v>5.8469079167107268E-4</v>
      </c>
    </row>
    <row r="237" spans="6:19" x14ac:dyDescent="0.3">
      <c r="F237">
        <v>120</v>
      </c>
      <c r="G237">
        <f t="shared" si="119"/>
        <v>393</v>
      </c>
      <c r="H237">
        <f t="shared" si="115"/>
        <v>29.529177928356905</v>
      </c>
      <c r="J237">
        <v>1.5</v>
      </c>
      <c r="K237">
        <f t="shared" si="123"/>
        <v>357418.09884629952</v>
      </c>
      <c r="L237">
        <f t="shared" si="116"/>
        <v>0.65924839142953129</v>
      </c>
      <c r="N237">
        <v>15</v>
      </c>
      <c r="O237">
        <f t="shared" si="120"/>
        <v>14092.448538080027</v>
      </c>
      <c r="P237">
        <f t="shared" si="117"/>
        <v>2.5742644213888139E-5</v>
      </c>
      <c r="R237">
        <f t="shared" si="121"/>
        <v>14092.448538080027</v>
      </c>
      <c r="S237">
        <f t="shared" si="118"/>
        <v>2.5742644213888139E-5</v>
      </c>
    </row>
    <row r="238" spans="6:19" x14ac:dyDescent="0.3">
      <c r="F238">
        <v>120</v>
      </c>
      <c r="G238">
        <f t="shared" si="119"/>
        <v>393</v>
      </c>
      <c r="H238">
        <f t="shared" si="115"/>
        <v>29.529177928356905</v>
      </c>
      <c r="J238">
        <v>1.6</v>
      </c>
      <c r="K238">
        <f t="shared" si="123"/>
        <v>216284.83980317719</v>
      </c>
      <c r="L238">
        <f t="shared" si="116"/>
        <v>0.50231067838198418</v>
      </c>
      <c r="N238">
        <v>16</v>
      </c>
      <c r="O238">
        <f t="shared" si="120"/>
        <v>10154.847747091411</v>
      </c>
      <c r="P238">
        <f t="shared" si="117"/>
        <v>4.2766867578522911E-7</v>
      </c>
      <c r="R238">
        <f t="shared" si="121"/>
        <v>10154.847747091411</v>
      </c>
      <c r="S238">
        <f t="shared" si="118"/>
        <v>4.2766867578522911E-7</v>
      </c>
    </row>
    <row r="239" spans="6:19" x14ac:dyDescent="0.3">
      <c r="F239">
        <v>120</v>
      </c>
      <c r="G239">
        <f t="shared" si="119"/>
        <v>393</v>
      </c>
      <c r="H239">
        <f t="shared" si="115"/>
        <v>29.529177928356905</v>
      </c>
      <c r="J239">
        <v>1.7</v>
      </c>
      <c r="K239">
        <f t="shared" si="123"/>
        <v>130880.70268316899</v>
      </c>
      <c r="L239">
        <f t="shared" si="116"/>
        <v>0.32051375798585247</v>
      </c>
      <c r="N239">
        <v>17</v>
      </c>
      <c r="O239">
        <f t="shared" si="120"/>
        <v>7464.3305405811989</v>
      </c>
      <c r="P239">
        <f t="shared" si="117"/>
        <v>2.1649144941044198E-9</v>
      </c>
      <c r="R239">
        <f t="shared" si="121"/>
        <v>7464.3305405811989</v>
      </c>
      <c r="S239">
        <f t="shared" si="118"/>
        <v>2.1649144941044198E-9</v>
      </c>
    </row>
    <row r="240" spans="6:19" x14ac:dyDescent="0.3">
      <c r="F240">
        <v>120</v>
      </c>
      <c r="G240">
        <f t="shared" si="119"/>
        <v>393</v>
      </c>
      <c r="H240">
        <f t="shared" si="115"/>
        <v>29.529177928356905</v>
      </c>
      <c r="J240">
        <v>1.8</v>
      </c>
      <c r="K240">
        <f t="shared" si="123"/>
        <v>79199.995480165933</v>
      </c>
      <c r="L240">
        <f t="shared" si="116"/>
        <v>0.1525438569672467</v>
      </c>
      <c r="N240">
        <v>18</v>
      </c>
      <c r="O240">
        <f t="shared" si="120"/>
        <v>5584.0795799226726</v>
      </c>
      <c r="P240">
        <f t="shared" si="117"/>
        <v>2.6178326461070512E-12</v>
      </c>
      <c r="R240">
        <f t="shared" si="121"/>
        <v>5584.0795799226726</v>
      </c>
      <c r="S240">
        <f t="shared" si="118"/>
        <v>2.6178326461070512E-12</v>
      </c>
    </row>
    <row r="241" spans="6:19" x14ac:dyDescent="0.3">
      <c r="F241">
        <v>120</v>
      </c>
      <c r="G241">
        <f t="shared" si="119"/>
        <v>393</v>
      </c>
      <c r="H241">
        <f t="shared" si="115"/>
        <v>29.529177928356905</v>
      </c>
      <c r="J241">
        <v>1.9</v>
      </c>
      <c r="K241">
        <f t="shared" ref="K241:K242" si="124">$C$7*EXP($C$5*H241)*EXP(-$C$6*J241)</f>
        <v>47926.38758398853</v>
      </c>
      <c r="L241">
        <f t="shared" si="116"/>
        <v>4.4723093521925106E-2</v>
      </c>
      <c r="N241">
        <v>19</v>
      </c>
      <c r="O241">
        <f t="shared" si="120"/>
        <v>4243.5437382856253</v>
      </c>
      <c r="P241">
        <f t="shared" si="117"/>
        <v>5.7433951395383078E-16</v>
      </c>
      <c r="R241">
        <f t="shared" si="121"/>
        <v>4243.5437382856253</v>
      </c>
      <c r="S241">
        <f t="shared" si="118"/>
        <v>5.7433951395383078E-16</v>
      </c>
    </row>
    <row r="242" spans="6:19" x14ac:dyDescent="0.3">
      <c r="F242">
        <v>120</v>
      </c>
      <c r="G242">
        <f t="shared" si="119"/>
        <v>393</v>
      </c>
      <c r="H242">
        <f t="shared" si="115"/>
        <v>29.529177928356905</v>
      </c>
      <c r="J242">
        <v>2</v>
      </c>
      <c r="K242">
        <f t="shared" si="124"/>
        <v>29001.751994113503</v>
      </c>
      <c r="L242">
        <f t="shared" si="116"/>
        <v>5.8878628066212418E-3</v>
      </c>
      <c r="N242">
        <v>20</v>
      </c>
      <c r="O242">
        <f t="shared" si="120"/>
        <v>3270.5629778683456</v>
      </c>
      <c r="P242">
        <f t="shared" si="117"/>
        <v>1.6790979226150113E-20</v>
      </c>
      <c r="R242">
        <f t="shared" si="121"/>
        <v>3270.5629778683456</v>
      </c>
      <c r="S242">
        <f t="shared" si="118"/>
        <v>1.6790979226150113E-20</v>
      </c>
    </row>
    <row r="243" spans="6:19" x14ac:dyDescent="0.3">
      <c r="F243">
        <v>130</v>
      </c>
      <c r="G243">
        <f t="shared" ref="G243:G264" si="125">F243+273</f>
        <v>403</v>
      </c>
      <c r="H243">
        <f t="shared" si="115"/>
        <v>28.796443984725212</v>
      </c>
      <c r="J243">
        <v>0.1</v>
      </c>
      <c r="K243">
        <f>$C$7*EXP($C$5*H243)*EXP(-$C$6*J243)</f>
        <v>275479316.28952724</v>
      </c>
      <c r="L243">
        <f t="shared" si="116"/>
        <v>0.99945956103966471</v>
      </c>
      <c r="N243">
        <v>1</v>
      </c>
      <c r="O243">
        <f t="shared" si="120"/>
        <v>10135578481.311954</v>
      </c>
      <c r="P243">
        <f t="shared" si="117"/>
        <v>0.99998530731065283</v>
      </c>
      <c r="R243">
        <f t="shared" si="121"/>
        <v>275479316.28952724</v>
      </c>
      <c r="S243">
        <f t="shared" si="118"/>
        <v>0.99945956103966471</v>
      </c>
    </row>
    <row r="244" spans="6:19" x14ac:dyDescent="0.3">
      <c r="F244">
        <v>130</v>
      </c>
      <c r="G244">
        <f t="shared" si="125"/>
        <v>403</v>
      </c>
      <c r="H244">
        <f t="shared" si="115"/>
        <v>28.796443984725212</v>
      </c>
      <c r="J244">
        <v>0.2</v>
      </c>
      <c r="K244">
        <f>$C$7*EXP($C$5*H244)*EXP(-$C$6*J244)</f>
        <v>166701126.73390722</v>
      </c>
      <c r="L244">
        <f t="shared" si="116"/>
        <v>0.999107063611545</v>
      </c>
      <c r="N244">
        <v>2</v>
      </c>
      <c r="O244">
        <f t="shared" si="120"/>
        <v>300191810.97589475</v>
      </c>
      <c r="P244">
        <f t="shared" si="117"/>
        <v>0.99950404020916939</v>
      </c>
      <c r="R244">
        <f t="shared" si="121"/>
        <v>166701126.73390722</v>
      </c>
      <c r="S244">
        <f t="shared" si="118"/>
        <v>0.999107063611545</v>
      </c>
    </row>
    <row r="245" spans="6:19" x14ac:dyDescent="0.3">
      <c r="F245">
        <v>130</v>
      </c>
      <c r="G245">
        <f t="shared" si="125"/>
        <v>403</v>
      </c>
      <c r="H245">
        <f t="shared" si="115"/>
        <v>28.796443984725212</v>
      </c>
      <c r="J245">
        <v>0.3</v>
      </c>
      <c r="K245">
        <f t="shared" ref="K245:K259" si="126">$C$7*EXP($C$5*H245)*EXP(-$C$6*J245)</f>
        <v>100876051.34444226</v>
      </c>
      <c r="L245">
        <f t="shared" si="116"/>
        <v>0.99852482200445791</v>
      </c>
      <c r="N245">
        <v>3</v>
      </c>
      <c r="O245">
        <f t="shared" si="120"/>
        <v>38310082.046509065</v>
      </c>
      <c r="P245">
        <f t="shared" si="117"/>
        <v>0.99612031810456814</v>
      </c>
      <c r="R245">
        <f t="shared" si="121"/>
        <v>38310082.046509065</v>
      </c>
      <c r="S245">
        <f t="shared" si="118"/>
        <v>0.99612031810456814</v>
      </c>
    </row>
    <row r="246" spans="6:19" x14ac:dyDescent="0.3">
      <c r="F246">
        <v>130</v>
      </c>
      <c r="G246">
        <f t="shared" si="125"/>
        <v>403</v>
      </c>
      <c r="H246">
        <f t="shared" si="115"/>
        <v>28.796443984725212</v>
      </c>
      <c r="J246">
        <v>0.4</v>
      </c>
      <c r="K246">
        <f t="shared" si="126"/>
        <v>61043245.083098441</v>
      </c>
      <c r="L246">
        <f t="shared" si="116"/>
        <v>0.99756339139323558</v>
      </c>
      <c r="N246">
        <v>4</v>
      </c>
      <c r="O246">
        <f t="shared" si="120"/>
        <v>8890969.9178139865</v>
      </c>
      <c r="P246">
        <f t="shared" si="117"/>
        <v>0.98338991562352307</v>
      </c>
      <c r="R246">
        <f t="shared" si="121"/>
        <v>8890969.9178139865</v>
      </c>
      <c r="S246">
        <f t="shared" si="118"/>
        <v>0.98338991562352307</v>
      </c>
    </row>
    <row r="247" spans="6:19" x14ac:dyDescent="0.3">
      <c r="F247">
        <v>130</v>
      </c>
      <c r="G247">
        <f t="shared" si="125"/>
        <v>403</v>
      </c>
      <c r="H247">
        <f t="shared" si="115"/>
        <v>28.796443984725212</v>
      </c>
      <c r="J247">
        <v>0.5</v>
      </c>
      <c r="K247">
        <f t="shared" si="126"/>
        <v>36939171.593382552</v>
      </c>
      <c r="L247">
        <f t="shared" si="116"/>
        <v>0.99597662287388722</v>
      </c>
      <c r="N247">
        <v>5</v>
      </c>
      <c r="O247">
        <f t="shared" si="120"/>
        <v>2863506.9451309452</v>
      </c>
      <c r="P247">
        <f t="shared" si="117"/>
        <v>0.94932301911097927</v>
      </c>
      <c r="R247">
        <f t="shared" si="121"/>
        <v>2863506.9451309452</v>
      </c>
      <c r="S247">
        <f t="shared" si="118"/>
        <v>0.94932301911097927</v>
      </c>
    </row>
    <row r="248" spans="6:19" x14ac:dyDescent="0.3">
      <c r="F248">
        <v>130</v>
      </c>
      <c r="G248">
        <f t="shared" si="125"/>
        <v>403</v>
      </c>
      <c r="H248">
        <f t="shared" si="115"/>
        <v>28.796443984725212</v>
      </c>
      <c r="J248">
        <v>0.6</v>
      </c>
      <c r="K248">
        <f t="shared" si="126"/>
        <v>22353044.897070222</v>
      </c>
      <c r="L248">
        <f t="shared" si="116"/>
        <v>0.99335996350457811</v>
      </c>
      <c r="N248">
        <v>6</v>
      </c>
      <c r="O248">
        <f t="shared" si="120"/>
        <v>1134653.8265557443</v>
      </c>
      <c r="P248">
        <f t="shared" si="117"/>
        <v>0.87700105939271555</v>
      </c>
      <c r="R248">
        <f t="shared" si="121"/>
        <v>1134653.8265557443</v>
      </c>
      <c r="S248">
        <f t="shared" si="118"/>
        <v>0.87700105939271555</v>
      </c>
    </row>
    <row r="249" spans="6:19" x14ac:dyDescent="0.3">
      <c r="F249">
        <v>130</v>
      </c>
      <c r="G249">
        <f t="shared" si="125"/>
        <v>403</v>
      </c>
      <c r="H249">
        <f t="shared" si="115"/>
        <v>28.796443984725212</v>
      </c>
      <c r="J249">
        <v>0.7</v>
      </c>
      <c r="K249">
        <f t="shared" si="126"/>
        <v>13526524.678749114</v>
      </c>
      <c r="L249">
        <f t="shared" si="116"/>
        <v>0.98905090274189222</v>
      </c>
      <c r="N249">
        <v>7</v>
      </c>
      <c r="O249">
        <f t="shared" si="120"/>
        <v>518737.62871990097</v>
      </c>
      <c r="P249">
        <f t="shared" si="117"/>
        <v>0.75045053071238266</v>
      </c>
      <c r="R249">
        <f t="shared" si="121"/>
        <v>518737.62871990097</v>
      </c>
      <c r="S249">
        <f t="shared" si="118"/>
        <v>0.75045053071238266</v>
      </c>
    </row>
    <row r="250" spans="6:19" x14ac:dyDescent="0.3">
      <c r="F250">
        <v>130</v>
      </c>
      <c r="G250">
        <f t="shared" si="125"/>
        <v>403</v>
      </c>
      <c r="H250">
        <f t="shared" si="115"/>
        <v>28.796443984725212</v>
      </c>
      <c r="J250">
        <v>0.8</v>
      </c>
      <c r="K250">
        <f t="shared" si="126"/>
        <v>8185321.9875557022</v>
      </c>
      <c r="L250">
        <f t="shared" si="116"/>
        <v>0.9819709612654467</v>
      </c>
      <c r="N250">
        <v>8</v>
      </c>
      <c r="O250">
        <f t="shared" si="120"/>
        <v>263329.4553322139</v>
      </c>
      <c r="P250">
        <f t="shared" si="117"/>
        <v>0.56806052057514056</v>
      </c>
      <c r="R250">
        <f t="shared" si="121"/>
        <v>263329.4553322139</v>
      </c>
      <c r="S250">
        <f t="shared" si="118"/>
        <v>0.56806052057514056</v>
      </c>
    </row>
    <row r="251" spans="6:19" x14ac:dyDescent="0.3">
      <c r="F251">
        <v>130</v>
      </c>
      <c r="G251">
        <f t="shared" si="125"/>
        <v>403</v>
      </c>
      <c r="H251">
        <f t="shared" si="115"/>
        <v>28.796443984725212</v>
      </c>
      <c r="J251">
        <v>0.9</v>
      </c>
      <c r="K251">
        <f t="shared" si="126"/>
        <v>4953193.6422089683</v>
      </c>
      <c r="L251">
        <f t="shared" si="116"/>
        <v>0.9703820191420891</v>
      </c>
      <c r="N251">
        <v>9</v>
      </c>
      <c r="O251">
        <f t="shared" si="120"/>
        <v>144803.0212697126</v>
      </c>
      <c r="P251">
        <f t="shared" si="117"/>
        <v>0.35756733664838047</v>
      </c>
      <c r="R251">
        <f t="shared" si="121"/>
        <v>144803.0212697126</v>
      </c>
      <c r="S251">
        <f t="shared" si="118"/>
        <v>0.35756733664838047</v>
      </c>
    </row>
    <row r="252" spans="6:19" x14ac:dyDescent="0.3">
      <c r="F252">
        <v>130</v>
      </c>
      <c r="G252">
        <f t="shared" si="125"/>
        <v>403</v>
      </c>
      <c r="H252">
        <f t="shared" si="115"/>
        <v>28.796443984725212</v>
      </c>
      <c r="J252">
        <v>1</v>
      </c>
      <c r="K252">
        <f t="shared" si="126"/>
        <v>2997331.9674557778</v>
      </c>
      <c r="L252">
        <f t="shared" si="116"/>
        <v>0.9515298831868142</v>
      </c>
      <c r="N252">
        <v>10</v>
      </c>
      <c r="O252">
        <f t="shared" si="120"/>
        <v>84810.288547994263</v>
      </c>
      <c r="P252">
        <f t="shared" si="117"/>
        <v>0.17274840753431384</v>
      </c>
      <c r="R252">
        <f t="shared" si="121"/>
        <v>84810.288547994263</v>
      </c>
      <c r="S252">
        <f t="shared" si="118"/>
        <v>0.17274840753431384</v>
      </c>
    </row>
    <row r="253" spans="6:19" x14ac:dyDescent="0.3">
      <c r="F253">
        <v>130</v>
      </c>
      <c r="G253">
        <f t="shared" si="125"/>
        <v>403</v>
      </c>
      <c r="H253">
        <f t="shared" si="115"/>
        <v>28.796443984725212</v>
      </c>
      <c r="J253">
        <v>1.1000000000000001</v>
      </c>
      <c r="K253">
        <f t="shared" si="126"/>
        <v>1813779.0629816232</v>
      </c>
      <c r="L253">
        <f t="shared" si="116"/>
        <v>0.92117539780096902</v>
      </c>
      <c r="N253">
        <v>11</v>
      </c>
      <c r="O253">
        <f t="shared" si="120"/>
        <v>52273.468908689501</v>
      </c>
      <c r="P253">
        <f t="shared" si="117"/>
        <v>5.7910073492610736E-2</v>
      </c>
      <c r="R253">
        <f t="shared" si="121"/>
        <v>52273.468908689501</v>
      </c>
      <c r="S253">
        <f t="shared" si="118"/>
        <v>5.7910073492610736E-2</v>
      </c>
    </row>
    <row r="254" spans="6:19" x14ac:dyDescent="0.3">
      <c r="F254">
        <v>130</v>
      </c>
      <c r="G254">
        <f t="shared" si="125"/>
        <v>403</v>
      </c>
      <c r="H254">
        <f t="shared" si="115"/>
        <v>28.796443984725212</v>
      </c>
      <c r="J254">
        <v>1.2</v>
      </c>
      <c r="K254">
        <f t="shared" si="126"/>
        <v>1097574.2844069991</v>
      </c>
      <c r="L254">
        <f t="shared" si="116"/>
        <v>0.87312109499578816</v>
      </c>
      <c r="N254">
        <v>12</v>
      </c>
      <c r="O254">
        <f t="shared" si="120"/>
        <v>33605.756953342454</v>
      </c>
      <c r="P254">
        <f t="shared" si="117"/>
        <v>1.1898016264810959E-2</v>
      </c>
      <c r="R254">
        <f t="shared" si="121"/>
        <v>33605.756953342454</v>
      </c>
      <c r="S254">
        <f t="shared" si="118"/>
        <v>1.1898016264810959E-2</v>
      </c>
    </row>
    <row r="255" spans="6:19" x14ac:dyDescent="0.3">
      <c r="F255">
        <v>130</v>
      </c>
      <c r="G255">
        <f t="shared" si="125"/>
        <v>403</v>
      </c>
      <c r="H255">
        <f t="shared" si="115"/>
        <v>28.796443984725212</v>
      </c>
      <c r="J255">
        <v>1.3</v>
      </c>
      <c r="K255">
        <f t="shared" si="126"/>
        <v>664176.43382166466</v>
      </c>
      <c r="L255">
        <f t="shared" si="116"/>
        <v>0.79914127762749265</v>
      </c>
      <c r="N255">
        <v>13</v>
      </c>
      <c r="O255">
        <f t="shared" si="120"/>
        <v>22382.704637906343</v>
      </c>
      <c r="P255">
        <f t="shared" si="117"/>
        <v>1.2896925349383896E-3</v>
      </c>
      <c r="R255">
        <f t="shared" si="121"/>
        <v>22382.704637906343</v>
      </c>
      <c r="S255">
        <f t="shared" si="118"/>
        <v>1.2896925349383896E-3</v>
      </c>
    </row>
    <row r="256" spans="6:19" x14ac:dyDescent="0.3">
      <c r="F256">
        <v>130</v>
      </c>
      <c r="G256">
        <f t="shared" si="125"/>
        <v>403</v>
      </c>
      <c r="H256">
        <f t="shared" si="115"/>
        <v>28.796443984725212</v>
      </c>
      <c r="J256">
        <v>1.4</v>
      </c>
      <c r="K256">
        <f t="shared" si="126"/>
        <v>401913.87636455073</v>
      </c>
      <c r="L256">
        <f t="shared" si="116"/>
        <v>0.69037031141022343</v>
      </c>
      <c r="N256">
        <v>14</v>
      </c>
      <c r="O256">
        <f t="shared" si="120"/>
        <v>15363.77903578839</v>
      </c>
      <c r="P256">
        <f t="shared" si="117"/>
        <v>6.1718444116396851E-5</v>
      </c>
      <c r="R256">
        <f t="shared" si="121"/>
        <v>15363.77903578839</v>
      </c>
      <c r="S256">
        <f t="shared" si="118"/>
        <v>6.1718444116396851E-5</v>
      </c>
    </row>
    <row r="257" spans="6:19" x14ac:dyDescent="0.3">
      <c r="F257">
        <v>130</v>
      </c>
      <c r="G257">
        <f t="shared" si="125"/>
        <v>403</v>
      </c>
      <c r="H257">
        <f t="shared" si="115"/>
        <v>28.796443984725212</v>
      </c>
      <c r="J257">
        <v>1.5</v>
      </c>
      <c r="K257">
        <f t="shared" si="126"/>
        <v>243210.62264270577</v>
      </c>
      <c r="L257">
        <f t="shared" si="116"/>
        <v>0.5420978376804354</v>
      </c>
      <c r="N257">
        <v>15</v>
      </c>
      <c r="O257">
        <f t="shared" si="120"/>
        <v>10823.376900586651</v>
      </c>
      <c r="P257">
        <f t="shared" si="117"/>
        <v>1.0580246575172179E-6</v>
      </c>
      <c r="R257">
        <f t="shared" si="121"/>
        <v>10823.376900586651</v>
      </c>
      <c r="S257">
        <f t="shared" si="118"/>
        <v>1.0580246575172179E-6</v>
      </c>
    </row>
    <row r="258" spans="6:19" x14ac:dyDescent="0.3">
      <c r="F258">
        <v>130</v>
      </c>
      <c r="G258">
        <f t="shared" si="125"/>
        <v>403</v>
      </c>
      <c r="H258">
        <f t="shared" si="115"/>
        <v>28.796443984725212</v>
      </c>
      <c r="J258">
        <v>1.6</v>
      </c>
      <c r="K258">
        <f t="shared" si="126"/>
        <v>147174.33371870004</v>
      </c>
      <c r="L258">
        <f t="shared" si="116"/>
        <v>0.363541720531183</v>
      </c>
      <c r="N258">
        <v>16</v>
      </c>
      <c r="O258">
        <f t="shared" si="120"/>
        <v>7799.1943158671138</v>
      </c>
      <c r="P258">
        <f t="shared" si="117"/>
        <v>5.0987012083952799E-9</v>
      </c>
      <c r="R258">
        <f t="shared" si="121"/>
        <v>7799.1943158671138</v>
      </c>
      <c r="S258">
        <f t="shared" si="118"/>
        <v>5.0987012083952799E-9</v>
      </c>
    </row>
    <row r="259" spans="6:19" x14ac:dyDescent="0.3">
      <c r="F259">
        <v>130</v>
      </c>
      <c r="G259">
        <f t="shared" si="125"/>
        <v>403</v>
      </c>
      <c r="H259">
        <f t="shared" ref="H259:H322" si="127">1/($B$18*G259)</f>
        <v>28.796443984725212</v>
      </c>
      <c r="J259">
        <v>1.7</v>
      </c>
      <c r="K259">
        <f t="shared" si="126"/>
        <v>89059.779832741246</v>
      </c>
      <c r="L259">
        <f t="shared" ref="L259:L322" si="128">EXP(-$B$22/K259)</f>
        <v>0.18784553405034066</v>
      </c>
      <c r="N259">
        <v>17</v>
      </c>
      <c r="O259">
        <f t="shared" si="120"/>
        <v>5732.8052348720403</v>
      </c>
      <c r="P259">
        <f t="shared" ref="P259:P322" si="129">EXP(-$B$22/O259)</f>
        <v>5.2289462820730188E-12</v>
      </c>
      <c r="R259">
        <f t="shared" si="121"/>
        <v>5732.8052348720403</v>
      </c>
      <c r="S259">
        <f t="shared" ref="S259:S322" si="130">EXP(-$B$22/R259)</f>
        <v>5.2289462820730188E-12</v>
      </c>
    </row>
    <row r="260" spans="6:19" x14ac:dyDescent="0.3">
      <c r="F260">
        <v>130</v>
      </c>
      <c r="G260">
        <f t="shared" si="125"/>
        <v>403</v>
      </c>
      <c r="H260">
        <f t="shared" si="127"/>
        <v>28.796443984725212</v>
      </c>
      <c r="J260">
        <v>1.8</v>
      </c>
      <c r="K260">
        <f>$C$7*EXP($C$5*H260)*EXP(-$C$6*J260)</f>
        <v>53892.850631254674</v>
      </c>
      <c r="L260">
        <f t="shared" si="128"/>
        <v>6.3085724494746226E-2</v>
      </c>
      <c r="N260">
        <v>18</v>
      </c>
      <c r="O260">
        <f t="shared" ref="O260:O323" si="131">$C$11*POWER(N260,-$C$10)*EXP($C$9*H260)</f>
        <v>4288.7222737097818</v>
      </c>
      <c r="P260">
        <f t="shared" si="129"/>
        <v>8.3122700978682094E-16</v>
      </c>
      <c r="R260">
        <f t="shared" ref="R260:R323" si="132">MIN(K260,O260)</f>
        <v>4288.7222737097818</v>
      </c>
      <c r="S260">
        <f t="shared" si="130"/>
        <v>8.3122700978682094E-16</v>
      </c>
    </row>
    <row r="261" spans="6:19" x14ac:dyDescent="0.3">
      <c r="F261">
        <v>130</v>
      </c>
      <c r="G261">
        <f t="shared" si="125"/>
        <v>403</v>
      </c>
      <c r="H261">
        <f t="shared" si="127"/>
        <v>28.796443984725212</v>
      </c>
      <c r="J261">
        <v>1.9</v>
      </c>
      <c r="K261">
        <f>$C$7*EXP($C$5*H261)*EXP(-$C$6*J261)</f>
        <v>32612.244883351617</v>
      </c>
      <c r="L261">
        <f t="shared" si="128"/>
        <v>1.0395492494577161E-2</v>
      </c>
      <c r="N261">
        <v>19</v>
      </c>
      <c r="O261">
        <f t="shared" si="131"/>
        <v>3259.1549402845822</v>
      </c>
      <c r="P261">
        <f t="shared" si="129"/>
        <v>1.4317188781771656E-20</v>
      </c>
      <c r="R261">
        <f t="shared" si="132"/>
        <v>3259.1549402845822</v>
      </c>
      <c r="S261">
        <f t="shared" si="130"/>
        <v>1.4317188781771656E-20</v>
      </c>
    </row>
    <row r="262" spans="6:19" x14ac:dyDescent="0.3">
      <c r="F262">
        <v>130</v>
      </c>
      <c r="G262">
        <f t="shared" si="125"/>
        <v>403</v>
      </c>
      <c r="H262">
        <f t="shared" si="127"/>
        <v>28.796443984725212</v>
      </c>
      <c r="J262">
        <v>2</v>
      </c>
      <c r="K262">
        <f t="shared" ref="K262:K264" si="133">$C$7*EXP($C$5*H262)*EXP(-$C$6*J262)</f>
        <v>19734.686584103034</v>
      </c>
      <c r="L262">
        <f t="shared" si="128"/>
        <v>5.2816377986689448E-4</v>
      </c>
      <c r="N262">
        <v>20</v>
      </c>
      <c r="O262">
        <f t="shared" si="131"/>
        <v>2511.8797269985898</v>
      </c>
      <c r="P262">
        <f t="shared" si="129"/>
        <v>1.7877079727138328E-26</v>
      </c>
      <c r="R262">
        <f t="shared" si="132"/>
        <v>2511.8797269985898</v>
      </c>
      <c r="S262">
        <f t="shared" si="130"/>
        <v>1.7877079727138328E-26</v>
      </c>
    </row>
    <row r="263" spans="6:19" x14ac:dyDescent="0.3">
      <c r="F263">
        <v>140</v>
      </c>
      <c r="G263">
        <f t="shared" si="125"/>
        <v>413</v>
      </c>
      <c r="H263">
        <f t="shared" si="127"/>
        <v>28.09919352504664</v>
      </c>
      <c r="J263">
        <v>0.1</v>
      </c>
      <c r="K263">
        <f t="shared" si="133"/>
        <v>190981613.16681489</v>
      </c>
      <c r="L263">
        <f t="shared" si="128"/>
        <v>0.99922054300609797</v>
      </c>
      <c r="N263">
        <v>1</v>
      </c>
      <c r="O263">
        <f t="shared" si="131"/>
        <v>7884527070.8400507</v>
      </c>
      <c r="P263">
        <f t="shared" si="129"/>
        <v>0.99998111255217992</v>
      </c>
      <c r="R263">
        <f t="shared" si="132"/>
        <v>190981613.16681489</v>
      </c>
      <c r="S263">
        <f t="shared" si="130"/>
        <v>0.99922054300609797</v>
      </c>
    </row>
    <row r="264" spans="6:19" x14ac:dyDescent="0.3">
      <c r="F264">
        <v>140</v>
      </c>
      <c r="G264">
        <f t="shared" si="125"/>
        <v>413</v>
      </c>
      <c r="H264">
        <f t="shared" si="127"/>
        <v>28.09919352504664</v>
      </c>
      <c r="J264">
        <v>0.2</v>
      </c>
      <c r="K264">
        <f t="shared" si="133"/>
        <v>115568931.01515797</v>
      </c>
      <c r="L264">
        <f t="shared" si="128"/>
        <v>0.99871224824782545</v>
      </c>
      <c r="N264">
        <v>2</v>
      </c>
      <c r="O264">
        <f t="shared" si="131"/>
        <v>233521003.70472124</v>
      </c>
      <c r="P264">
        <f t="shared" si="129"/>
        <v>0.99936248764169955</v>
      </c>
      <c r="R264">
        <f t="shared" si="132"/>
        <v>115568931.01515797</v>
      </c>
      <c r="S264">
        <f t="shared" si="130"/>
        <v>0.99871224824782545</v>
      </c>
    </row>
    <row r="265" spans="6:19" x14ac:dyDescent="0.3">
      <c r="F265">
        <v>140</v>
      </c>
      <c r="G265">
        <f t="shared" ref="G265:G279" si="134">F265+273</f>
        <v>413</v>
      </c>
      <c r="H265">
        <f t="shared" si="127"/>
        <v>28.09919352504664</v>
      </c>
      <c r="J265">
        <v>0.3</v>
      </c>
      <c r="K265">
        <f t="shared" ref="K265:K284" si="135">$C$7*EXP($C$5*H265)*EXP(-$C$6*J265)</f>
        <v>69934364.855952114</v>
      </c>
      <c r="L265">
        <f t="shared" si="128"/>
        <v>0.99787284040128166</v>
      </c>
      <c r="N265">
        <v>3</v>
      </c>
      <c r="O265">
        <f t="shared" si="131"/>
        <v>29801641.765069313</v>
      </c>
      <c r="P265">
        <f t="shared" si="129"/>
        <v>0.99501542429928347</v>
      </c>
      <c r="R265">
        <f t="shared" si="132"/>
        <v>29801641.765069313</v>
      </c>
      <c r="S265">
        <f t="shared" si="130"/>
        <v>0.99501542429928347</v>
      </c>
    </row>
    <row r="266" spans="6:19" x14ac:dyDescent="0.3">
      <c r="F266">
        <v>140</v>
      </c>
      <c r="G266">
        <f t="shared" si="134"/>
        <v>413</v>
      </c>
      <c r="H266">
        <f t="shared" si="127"/>
        <v>28.09919352504664</v>
      </c>
      <c r="J266">
        <v>0.4</v>
      </c>
      <c r="K266">
        <f t="shared" si="135"/>
        <v>42319465.489941701</v>
      </c>
      <c r="L266">
        <f t="shared" si="128"/>
        <v>0.99648723620480817</v>
      </c>
      <c r="N266">
        <v>4</v>
      </c>
      <c r="O266">
        <f t="shared" si="131"/>
        <v>6916338.6315129194</v>
      </c>
      <c r="P266">
        <f t="shared" si="129"/>
        <v>0.97869852702372784</v>
      </c>
      <c r="R266">
        <f t="shared" si="132"/>
        <v>6916338.6315129194</v>
      </c>
      <c r="S266">
        <f t="shared" si="130"/>
        <v>0.97869852702372784</v>
      </c>
    </row>
    <row r="267" spans="6:19" x14ac:dyDescent="0.3">
      <c r="F267">
        <v>140</v>
      </c>
      <c r="G267">
        <f t="shared" si="134"/>
        <v>413</v>
      </c>
      <c r="H267">
        <f t="shared" si="127"/>
        <v>28.09919352504664</v>
      </c>
      <c r="J267">
        <v>0.5</v>
      </c>
      <c r="K267">
        <f t="shared" si="135"/>
        <v>25608828.550073542</v>
      </c>
      <c r="L267">
        <f t="shared" si="128"/>
        <v>0.99420169339814379</v>
      </c>
      <c r="N267">
        <v>5</v>
      </c>
      <c r="O267">
        <f t="shared" si="131"/>
        <v>2227539.1649378263</v>
      </c>
      <c r="P267">
        <f t="shared" si="129"/>
        <v>0.93533170921390973</v>
      </c>
      <c r="R267">
        <f t="shared" si="132"/>
        <v>2227539.1649378263</v>
      </c>
      <c r="S267">
        <f t="shared" si="130"/>
        <v>0.93533170921390973</v>
      </c>
    </row>
    <row r="268" spans="6:19" x14ac:dyDescent="0.3">
      <c r="F268">
        <v>140</v>
      </c>
      <c r="G268">
        <f t="shared" si="134"/>
        <v>413</v>
      </c>
      <c r="H268">
        <f t="shared" si="127"/>
        <v>28.09919352504664</v>
      </c>
      <c r="J268">
        <v>0.6</v>
      </c>
      <c r="K268">
        <f t="shared" si="135"/>
        <v>15496700.91799558</v>
      </c>
      <c r="L268">
        <f t="shared" si="128"/>
        <v>0.99043623913231704</v>
      </c>
      <c r="N268">
        <v>6</v>
      </c>
      <c r="O268">
        <f t="shared" si="131"/>
        <v>882653.99237015389</v>
      </c>
      <c r="P268">
        <f t="shared" si="129"/>
        <v>0.84474672124332695</v>
      </c>
      <c r="R268">
        <f t="shared" si="132"/>
        <v>882653.99237015389</v>
      </c>
      <c r="S268">
        <f t="shared" si="130"/>
        <v>0.84474672124332695</v>
      </c>
    </row>
    <row r="269" spans="6:19" x14ac:dyDescent="0.3">
      <c r="F269">
        <v>140</v>
      </c>
      <c r="G269">
        <f t="shared" si="134"/>
        <v>413</v>
      </c>
      <c r="H269">
        <f t="shared" si="127"/>
        <v>28.09919352504664</v>
      </c>
      <c r="J269">
        <v>0.7</v>
      </c>
      <c r="K269">
        <f t="shared" si="135"/>
        <v>9377537.081488857</v>
      </c>
      <c r="L269">
        <f t="shared" si="128"/>
        <v>0.98424492794842111</v>
      </c>
      <c r="N269">
        <v>7</v>
      </c>
      <c r="O269">
        <f t="shared" si="131"/>
        <v>403529.10135781643</v>
      </c>
      <c r="P269">
        <f t="shared" si="129"/>
        <v>0.69139497757559498</v>
      </c>
      <c r="R269">
        <f t="shared" si="132"/>
        <v>403529.10135781643</v>
      </c>
      <c r="S269">
        <f t="shared" si="130"/>
        <v>0.69139497757559498</v>
      </c>
    </row>
    <row r="270" spans="6:19" x14ac:dyDescent="0.3">
      <c r="F270">
        <v>140</v>
      </c>
      <c r="G270">
        <f t="shared" si="134"/>
        <v>413</v>
      </c>
      <c r="H270">
        <f t="shared" si="127"/>
        <v>28.09919352504664</v>
      </c>
      <c r="J270">
        <v>0.8</v>
      </c>
      <c r="K270">
        <f t="shared" si="135"/>
        <v>5674640.1818066975</v>
      </c>
      <c r="L270">
        <f t="shared" si="128"/>
        <v>0.97409828324326675</v>
      </c>
      <c r="N270">
        <v>8</v>
      </c>
      <c r="O270">
        <f t="shared" si="131"/>
        <v>204845.5569600265</v>
      </c>
      <c r="P270">
        <f t="shared" si="129"/>
        <v>0.48336330580721865</v>
      </c>
      <c r="R270">
        <f t="shared" si="132"/>
        <v>204845.5569600265</v>
      </c>
      <c r="S270">
        <f t="shared" si="130"/>
        <v>0.48336330580721865</v>
      </c>
    </row>
    <row r="271" spans="6:19" x14ac:dyDescent="0.3">
      <c r="F271">
        <v>140</v>
      </c>
      <c r="G271">
        <f t="shared" si="134"/>
        <v>413</v>
      </c>
      <c r="H271">
        <f t="shared" si="127"/>
        <v>28.09919352504664</v>
      </c>
      <c r="J271">
        <v>0.9</v>
      </c>
      <c r="K271">
        <f t="shared" si="135"/>
        <v>3433901.7711314205</v>
      </c>
      <c r="L271">
        <f t="shared" si="128"/>
        <v>0.95755934842934609</v>
      </c>
      <c r="N271">
        <v>9</v>
      </c>
      <c r="O271">
        <f t="shared" si="131"/>
        <v>112643.13558871423</v>
      </c>
      <c r="P271">
        <f t="shared" si="129"/>
        <v>0.26658789805768085</v>
      </c>
      <c r="R271">
        <f t="shared" si="132"/>
        <v>112643.13558871423</v>
      </c>
      <c r="S271">
        <f t="shared" si="130"/>
        <v>0.26658789805768085</v>
      </c>
    </row>
    <row r="272" spans="6:19" x14ac:dyDescent="0.3">
      <c r="F272">
        <v>140</v>
      </c>
      <c r="G272">
        <f t="shared" si="134"/>
        <v>413</v>
      </c>
      <c r="H272">
        <f t="shared" si="127"/>
        <v>28.09919352504664</v>
      </c>
      <c r="J272">
        <v>1</v>
      </c>
      <c r="K272">
        <f t="shared" si="135"/>
        <v>2077961.0681897486</v>
      </c>
      <c r="L272">
        <f t="shared" si="128"/>
        <v>0.93084136781875804</v>
      </c>
      <c r="N272">
        <v>10</v>
      </c>
      <c r="O272">
        <f t="shared" si="131"/>
        <v>65974.430287856769</v>
      </c>
      <c r="P272">
        <f t="shared" si="129"/>
        <v>0.10463908502974149</v>
      </c>
      <c r="R272">
        <f t="shared" si="132"/>
        <v>65974.430287856769</v>
      </c>
      <c r="S272">
        <f t="shared" si="130"/>
        <v>0.10463908502974149</v>
      </c>
    </row>
    <row r="273" spans="6:19" x14ac:dyDescent="0.3">
      <c r="F273">
        <v>140</v>
      </c>
      <c r="G273">
        <f t="shared" si="134"/>
        <v>413</v>
      </c>
      <c r="H273">
        <f t="shared" si="127"/>
        <v>28.09919352504664</v>
      </c>
      <c r="J273">
        <v>1.1000000000000001</v>
      </c>
      <c r="K273">
        <f t="shared" si="135"/>
        <v>1257439.0558322773</v>
      </c>
      <c r="L273">
        <f t="shared" si="128"/>
        <v>0.88831294100550195</v>
      </c>
      <c r="N273">
        <v>11</v>
      </c>
      <c r="O273">
        <f t="shared" si="131"/>
        <v>40663.8438503738</v>
      </c>
      <c r="P273">
        <f t="shared" si="129"/>
        <v>2.5675413432186159E-2</v>
      </c>
      <c r="R273">
        <f t="shared" si="132"/>
        <v>40663.8438503738</v>
      </c>
      <c r="S273">
        <f t="shared" si="130"/>
        <v>2.5675413432186159E-2</v>
      </c>
    </row>
    <row r="274" spans="6:19" x14ac:dyDescent="0.3">
      <c r="F274">
        <v>140</v>
      </c>
      <c r="G274">
        <f t="shared" si="134"/>
        <v>413</v>
      </c>
      <c r="H274">
        <f t="shared" si="127"/>
        <v>28.09919352504664</v>
      </c>
      <c r="J274">
        <v>1.2</v>
      </c>
      <c r="K274">
        <f t="shared" si="135"/>
        <v>760915.59333679848</v>
      </c>
      <c r="L274">
        <f t="shared" si="128"/>
        <v>0.82224934609603795</v>
      </c>
      <c r="N274">
        <v>12</v>
      </c>
      <c r="O274">
        <f t="shared" si="131"/>
        <v>26142.119162043389</v>
      </c>
      <c r="P274">
        <f t="shared" si="129"/>
        <v>3.3575147065528937E-3</v>
      </c>
      <c r="R274">
        <f t="shared" si="132"/>
        <v>26142.119162043389</v>
      </c>
      <c r="S274">
        <f t="shared" si="130"/>
        <v>3.3575147065528937E-3</v>
      </c>
    </row>
    <row r="275" spans="6:19" x14ac:dyDescent="0.3">
      <c r="F275">
        <v>140</v>
      </c>
      <c r="G275">
        <f t="shared" si="134"/>
        <v>413</v>
      </c>
      <c r="H275">
        <f t="shared" si="127"/>
        <v>28.09919352504664</v>
      </c>
      <c r="J275">
        <v>1.3</v>
      </c>
      <c r="K275">
        <f t="shared" si="135"/>
        <v>460453.75916836492</v>
      </c>
      <c r="L275">
        <f t="shared" si="128"/>
        <v>0.72366977814093458</v>
      </c>
      <c r="N275">
        <v>13</v>
      </c>
      <c r="O275">
        <f t="shared" si="131"/>
        <v>17411.639696893399</v>
      </c>
      <c r="P275">
        <f t="shared" si="129"/>
        <v>1.9298477774078691E-4</v>
      </c>
      <c r="R275">
        <f t="shared" si="132"/>
        <v>17411.639696893399</v>
      </c>
      <c r="S275">
        <f t="shared" si="130"/>
        <v>1.9298477774078691E-4</v>
      </c>
    </row>
    <row r="276" spans="6:19" x14ac:dyDescent="0.3">
      <c r="F276">
        <v>140</v>
      </c>
      <c r="G276">
        <f t="shared" si="134"/>
        <v>413</v>
      </c>
      <c r="H276">
        <f t="shared" si="127"/>
        <v>28.09919352504664</v>
      </c>
      <c r="J276">
        <v>1.4</v>
      </c>
      <c r="K276">
        <f t="shared" si="135"/>
        <v>278634.93163877795</v>
      </c>
      <c r="L276">
        <f t="shared" si="128"/>
        <v>0.58598400828455532</v>
      </c>
      <c r="N276">
        <v>14</v>
      </c>
      <c r="O276">
        <f t="shared" si="131"/>
        <v>11951.575525899189</v>
      </c>
      <c r="P276">
        <f t="shared" si="129"/>
        <v>3.877647575744211E-6</v>
      </c>
      <c r="R276">
        <f t="shared" si="132"/>
        <v>11951.575525899189</v>
      </c>
      <c r="S276">
        <f t="shared" si="130"/>
        <v>3.877647575744211E-6</v>
      </c>
    </row>
    <row r="277" spans="6:19" x14ac:dyDescent="0.3">
      <c r="F277">
        <v>140</v>
      </c>
      <c r="G277">
        <f t="shared" si="134"/>
        <v>413</v>
      </c>
      <c r="H277">
        <f t="shared" si="127"/>
        <v>28.09919352504664</v>
      </c>
      <c r="J277">
        <v>1.5</v>
      </c>
      <c r="K277">
        <f t="shared" si="135"/>
        <v>168610.68800821344</v>
      </c>
      <c r="L277">
        <f t="shared" si="128"/>
        <v>0.41345027247691096</v>
      </c>
      <c r="N277">
        <v>15</v>
      </c>
      <c r="O277">
        <f t="shared" si="131"/>
        <v>8419.5695714779031</v>
      </c>
      <c r="P277">
        <f t="shared" si="129"/>
        <v>2.0819725011371906E-8</v>
      </c>
      <c r="R277">
        <f t="shared" si="132"/>
        <v>8419.5695714779031</v>
      </c>
      <c r="S277">
        <f t="shared" si="130"/>
        <v>2.0819725011371906E-8</v>
      </c>
    </row>
    <row r="278" spans="6:19" x14ac:dyDescent="0.3">
      <c r="F278">
        <v>140</v>
      </c>
      <c r="G278">
        <f t="shared" si="134"/>
        <v>413</v>
      </c>
      <c r="H278">
        <f t="shared" si="127"/>
        <v>28.09919352504664</v>
      </c>
      <c r="J278">
        <v>1.6</v>
      </c>
      <c r="K278">
        <f t="shared" si="135"/>
        <v>102031.58643245496</v>
      </c>
      <c r="L278">
        <f t="shared" si="128"/>
        <v>0.23234126450349699</v>
      </c>
      <c r="N278">
        <v>16</v>
      </c>
      <c r="O278">
        <f t="shared" si="131"/>
        <v>6067.0398663063224</v>
      </c>
      <c r="P278">
        <f t="shared" si="129"/>
        <v>2.1873554170556504E-11</v>
      </c>
      <c r="R278">
        <f t="shared" si="132"/>
        <v>6067.0398663063224</v>
      </c>
      <c r="S278">
        <f t="shared" si="130"/>
        <v>2.1873554170556504E-11</v>
      </c>
    </row>
    <row r="279" spans="6:19" x14ac:dyDescent="0.3">
      <c r="F279">
        <v>140</v>
      </c>
      <c r="G279">
        <f t="shared" si="134"/>
        <v>413</v>
      </c>
      <c r="H279">
        <f t="shared" si="127"/>
        <v>28.09919352504664</v>
      </c>
      <c r="J279">
        <v>1.7</v>
      </c>
      <c r="K279">
        <f t="shared" si="135"/>
        <v>61742.495407031427</v>
      </c>
      <c r="L279">
        <f t="shared" si="128"/>
        <v>8.9640052157669958E-2</v>
      </c>
      <c r="N279">
        <v>17</v>
      </c>
      <c r="O279">
        <f t="shared" si="131"/>
        <v>4459.5834514569697</v>
      </c>
      <c r="P279">
        <f t="shared" si="129"/>
        <v>3.1440854458505654E-15</v>
      </c>
      <c r="R279">
        <f t="shared" si="132"/>
        <v>4459.5834514569697</v>
      </c>
      <c r="S279">
        <f t="shared" si="130"/>
        <v>3.1440854458505654E-15</v>
      </c>
    </row>
    <row r="280" spans="6:19" x14ac:dyDescent="0.3">
      <c r="F280">
        <v>140</v>
      </c>
      <c r="G280">
        <f>F280+273</f>
        <v>413</v>
      </c>
      <c r="H280">
        <f t="shared" si="127"/>
        <v>28.09919352504664</v>
      </c>
      <c r="J280">
        <v>1.8</v>
      </c>
      <c r="K280">
        <f t="shared" si="135"/>
        <v>37362.309774639529</v>
      </c>
      <c r="L280">
        <f t="shared" si="128"/>
        <v>1.8576927096258116E-2</v>
      </c>
      <c r="N280">
        <v>18</v>
      </c>
      <c r="O280">
        <f t="shared" si="131"/>
        <v>3336.2226861275803</v>
      </c>
      <c r="P280">
        <f t="shared" si="129"/>
        <v>4.1139915578092515E-20</v>
      </c>
      <c r="R280">
        <f t="shared" si="132"/>
        <v>3336.2226861275803</v>
      </c>
      <c r="S280">
        <f t="shared" si="130"/>
        <v>4.1139915578092515E-20</v>
      </c>
    </row>
    <row r="281" spans="6:19" x14ac:dyDescent="0.3">
      <c r="F281">
        <v>140</v>
      </c>
      <c r="G281">
        <f>F281+273</f>
        <v>413</v>
      </c>
      <c r="H281">
        <f t="shared" si="127"/>
        <v>28.09919352504664</v>
      </c>
      <c r="J281">
        <v>1.9</v>
      </c>
      <c r="K281">
        <f t="shared" si="135"/>
        <v>22609.0990086085</v>
      </c>
      <c r="L281">
        <f t="shared" si="128"/>
        <v>1.3785423012098114E-3</v>
      </c>
      <c r="N281">
        <v>19</v>
      </c>
      <c r="O281">
        <f t="shared" si="131"/>
        <v>2535.3161047606691</v>
      </c>
      <c r="P281">
        <f t="shared" si="129"/>
        <v>3.0924842126885427E-26</v>
      </c>
      <c r="R281">
        <f t="shared" si="132"/>
        <v>2535.3161047606691</v>
      </c>
      <c r="S281">
        <f t="shared" si="130"/>
        <v>3.0924842126885427E-26</v>
      </c>
    </row>
    <row r="282" spans="6:19" x14ac:dyDescent="0.3">
      <c r="F282">
        <v>140</v>
      </c>
      <c r="G282">
        <f>F282+273</f>
        <v>413</v>
      </c>
      <c r="H282">
        <f t="shared" si="127"/>
        <v>28.09919352504664</v>
      </c>
      <c r="J282">
        <v>2</v>
      </c>
      <c r="K282">
        <f t="shared" si="135"/>
        <v>13681.471008198449</v>
      </c>
      <c r="L282">
        <f t="shared" si="128"/>
        <v>1.8741045891178507E-5</v>
      </c>
      <c r="N282">
        <v>20</v>
      </c>
      <c r="O282">
        <f t="shared" si="131"/>
        <v>1954.0062506280483</v>
      </c>
      <c r="P282">
        <f t="shared" si="129"/>
        <v>7.9664608504165687E-34</v>
      </c>
      <c r="R282">
        <f t="shared" si="132"/>
        <v>1954.0062506280483</v>
      </c>
      <c r="S282">
        <f t="shared" si="130"/>
        <v>7.9664608504165687E-34</v>
      </c>
    </row>
    <row r="283" spans="6:19" x14ac:dyDescent="0.3">
      <c r="F283">
        <v>150</v>
      </c>
      <c r="G283">
        <f>F283+273</f>
        <v>423</v>
      </c>
      <c r="H283">
        <f t="shared" si="127"/>
        <v>27.434909990175559</v>
      </c>
      <c r="J283">
        <v>0.1</v>
      </c>
      <c r="K283">
        <f t="shared" si="135"/>
        <v>134715155.22654319</v>
      </c>
      <c r="L283">
        <f t="shared" si="128"/>
        <v>0.99889516722343186</v>
      </c>
      <c r="N283">
        <v>1</v>
      </c>
      <c r="O283">
        <f t="shared" si="131"/>
        <v>6206687321.5028038</v>
      </c>
      <c r="P283">
        <f t="shared" si="129"/>
        <v>0.99997600681237087</v>
      </c>
      <c r="R283">
        <f t="shared" si="132"/>
        <v>134715155.22654319</v>
      </c>
      <c r="S283">
        <f t="shared" si="130"/>
        <v>0.99889516722343186</v>
      </c>
    </row>
    <row r="284" spans="6:19" x14ac:dyDescent="0.3">
      <c r="F284">
        <v>150</v>
      </c>
      <c r="G284">
        <f>F284+273</f>
        <v>423</v>
      </c>
      <c r="H284">
        <f t="shared" si="127"/>
        <v>27.434909990175559</v>
      </c>
      <c r="J284">
        <v>0.2</v>
      </c>
      <c r="K284">
        <f t="shared" si="135"/>
        <v>81520342.314177945</v>
      </c>
      <c r="L284">
        <f t="shared" si="128"/>
        <v>0.99817488425242429</v>
      </c>
      <c r="N284">
        <v>2</v>
      </c>
      <c r="O284">
        <f t="shared" si="131"/>
        <v>183827367.19353777</v>
      </c>
      <c r="P284">
        <f t="shared" si="129"/>
        <v>0.99919022016185732</v>
      </c>
      <c r="R284">
        <f t="shared" si="132"/>
        <v>81520342.314177945</v>
      </c>
      <c r="S284">
        <f t="shared" si="130"/>
        <v>0.99817488425242429</v>
      </c>
    </row>
    <row r="285" spans="6:19" x14ac:dyDescent="0.3">
      <c r="F285">
        <v>150</v>
      </c>
      <c r="G285">
        <f t="shared" ref="G285:G299" si="136">F285+273</f>
        <v>423</v>
      </c>
      <c r="H285">
        <f t="shared" si="127"/>
        <v>27.434909990175559</v>
      </c>
      <c r="J285">
        <v>0.3</v>
      </c>
      <c r="K285">
        <f t="shared" ref="K285:K301" si="137">$C$7*EXP($C$5*H285)*EXP(-$C$6*J285)</f>
        <v>49330501.826949343</v>
      </c>
      <c r="L285">
        <f t="shared" si="128"/>
        <v>0.99698573014596592</v>
      </c>
      <c r="N285">
        <v>3</v>
      </c>
      <c r="O285">
        <f t="shared" si="131"/>
        <v>23459805.57125752</v>
      </c>
      <c r="P285">
        <f t="shared" si="129"/>
        <v>0.99367222652156628</v>
      </c>
      <c r="R285">
        <f t="shared" si="132"/>
        <v>23459805.57125752</v>
      </c>
      <c r="S285">
        <f t="shared" si="130"/>
        <v>0.99367222652156628</v>
      </c>
    </row>
    <row r="286" spans="6:19" x14ac:dyDescent="0.3">
      <c r="F286">
        <v>150</v>
      </c>
      <c r="G286">
        <f t="shared" si="136"/>
        <v>423</v>
      </c>
      <c r="H286">
        <f t="shared" si="127"/>
        <v>27.434909990175559</v>
      </c>
      <c r="J286">
        <v>0.4</v>
      </c>
      <c r="K286">
        <f t="shared" si="137"/>
        <v>29851425.318112541</v>
      </c>
      <c r="L286">
        <f t="shared" si="128"/>
        <v>0.99502371641352794</v>
      </c>
      <c r="N286">
        <v>4</v>
      </c>
      <c r="O286">
        <f t="shared" si="131"/>
        <v>5444530.9033427685</v>
      </c>
      <c r="P286">
        <f t="shared" si="129"/>
        <v>0.97301846586046103</v>
      </c>
      <c r="R286">
        <f t="shared" si="132"/>
        <v>5444530.9033427685</v>
      </c>
      <c r="S286">
        <f t="shared" si="130"/>
        <v>0.97301846586046103</v>
      </c>
    </row>
    <row r="287" spans="6:19" x14ac:dyDescent="0.3">
      <c r="F287">
        <v>150</v>
      </c>
      <c r="G287">
        <f t="shared" si="136"/>
        <v>423</v>
      </c>
      <c r="H287">
        <f t="shared" si="127"/>
        <v>27.434909990175559</v>
      </c>
      <c r="J287">
        <v>0.5</v>
      </c>
      <c r="K287">
        <f t="shared" si="137"/>
        <v>18064028.552736849</v>
      </c>
      <c r="L287">
        <f t="shared" si="128"/>
        <v>0.99178988041887306</v>
      </c>
      <c r="N287">
        <v>5</v>
      </c>
      <c r="O287">
        <f t="shared" si="131"/>
        <v>1753515.330590083</v>
      </c>
      <c r="P287">
        <f t="shared" si="129"/>
        <v>0.91857975548248427</v>
      </c>
      <c r="R287">
        <f t="shared" si="132"/>
        <v>1753515.330590083</v>
      </c>
      <c r="S287">
        <f t="shared" si="130"/>
        <v>0.91857975548248427</v>
      </c>
    </row>
    <row r="288" spans="6:19" x14ac:dyDescent="0.3">
      <c r="F288">
        <v>150</v>
      </c>
      <c r="G288">
        <f t="shared" si="136"/>
        <v>423</v>
      </c>
      <c r="H288">
        <f t="shared" si="127"/>
        <v>27.434909990175559</v>
      </c>
      <c r="J288">
        <v>0.6</v>
      </c>
      <c r="K288">
        <f t="shared" si="137"/>
        <v>10931107.110523866</v>
      </c>
      <c r="L288">
        <f t="shared" si="128"/>
        <v>0.98646887426743379</v>
      </c>
      <c r="N288">
        <v>6</v>
      </c>
      <c r="O288">
        <f t="shared" si="131"/>
        <v>694823.8359125806</v>
      </c>
      <c r="P288">
        <f t="shared" si="129"/>
        <v>0.80708385409461536</v>
      </c>
      <c r="R288">
        <f t="shared" si="132"/>
        <v>694823.8359125806</v>
      </c>
      <c r="S288">
        <f t="shared" si="130"/>
        <v>0.80708385409461536</v>
      </c>
    </row>
    <row r="289" spans="6:19" x14ac:dyDescent="0.3">
      <c r="F289">
        <v>150</v>
      </c>
      <c r="G289">
        <f t="shared" si="136"/>
        <v>423</v>
      </c>
      <c r="H289">
        <f t="shared" si="127"/>
        <v>27.434909990175559</v>
      </c>
      <c r="J289">
        <v>0.7</v>
      </c>
      <c r="K289">
        <f t="shared" si="137"/>
        <v>6614753.8636193033</v>
      </c>
      <c r="L289">
        <f t="shared" si="128"/>
        <v>0.97773822404735877</v>
      </c>
      <c r="N289">
        <v>7</v>
      </c>
      <c r="O289">
        <f t="shared" si="131"/>
        <v>317657.47453868919</v>
      </c>
      <c r="P289">
        <f t="shared" si="129"/>
        <v>0.6257484348292196</v>
      </c>
      <c r="R289">
        <f t="shared" si="132"/>
        <v>317657.47453868919</v>
      </c>
      <c r="S289">
        <f t="shared" si="130"/>
        <v>0.6257484348292196</v>
      </c>
    </row>
    <row r="290" spans="6:19" x14ac:dyDescent="0.3">
      <c r="F290">
        <v>150</v>
      </c>
      <c r="G290">
        <f t="shared" si="136"/>
        <v>423</v>
      </c>
      <c r="H290">
        <f t="shared" si="127"/>
        <v>27.434909990175559</v>
      </c>
      <c r="J290">
        <v>0.8</v>
      </c>
      <c r="K290">
        <f t="shared" si="137"/>
        <v>4002793.8829857032</v>
      </c>
      <c r="L290">
        <f t="shared" si="128"/>
        <v>0.96347955189811207</v>
      </c>
      <c r="N290">
        <v>8</v>
      </c>
      <c r="O290">
        <f t="shared" si="131"/>
        <v>161254.10057277099</v>
      </c>
      <c r="P290">
        <f t="shared" si="129"/>
        <v>0.39712213573913635</v>
      </c>
      <c r="R290">
        <f t="shared" si="132"/>
        <v>161254.10057277099</v>
      </c>
      <c r="S290">
        <f t="shared" si="130"/>
        <v>0.39712213573913635</v>
      </c>
    </row>
    <row r="291" spans="6:19" x14ac:dyDescent="0.3">
      <c r="F291">
        <v>150</v>
      </c>
      <c r="G291">
        <f t="shared" si="136"/>
        <v>423</v>
      </c>
      <c r="H291">
        <f t="shared" si="127"/>
        <v>27.434909990175559</v>
      </c>
      <c r="J291">
        <v>0.9</v>
      </c>
      <c r="K291">
        <f t="shared" si="137"/>
        <v>2422215.4293283154</v>
      </c>
      <c r="L291">
        <f t="shared" si="128"/>
        <v>0.94037090066923934</v>
      </c>
      <c r="N291">
        <v>9</v>
      </c>
      <c r="O291">
        <f t="shared" si="131"/>
        <v>88672.499343490039</v>
      </c>
      <c r="P291">
        <f t="shared" si="129"/>
        <v>0.18647867394679885</v>
      </c>
      <c r="R291">
        <f t="shared" si="132"/>
        <v>88672.499343490039</v>
      </c>
      <c r="S291">
        <f t="shared" si="130"/>
        <v>0.18647867394679885</v>
      </c>
    </row>
    <row r="292" spans="6:19" x14ac:dyDescent="0.3">
      <c r="F292">
        <v>150</v>
      </c>
      <c r="G292">
        <f t="shared" si="136"/>
        <v>423</v>
      </c>
      <c r="H292">
        <f t="shared" si="127"/>
        <v>27.434909990175559</v>
      </c>
      <c r="J292">
        <v>1</v>
      </c>
      <c r="K292">
        <f t="shared" si="137"/>
        <v>1465758.1073597132</v>
      </c>
      <c r="L292">
        <f t="shared" si="128"/>
        <v>0.90339146668365655</v>
      </c>
      <c r="N292">
        <v>10</v>
      </c>
      <c r="O292">
        <f t="shared" si="131"/>
        <v>51934.967859446158</v>
      </c>
      <c r="P292">
        <f t="shared" si="129"/>
        <v>5.6844704233968611E-2</v>
      </c>
      <c r="R292">
        <f t="shared" si="132"/>
        <v>51934.967859446158</v>
      </c>
      <c r="S292">
        <f t="shared" si="130"/>
        <v>5.6844704233968611E-2</v>
      </c>
    </row>
    <row r="293" spans="6:19" x14ac:dyDescent="0.3">
      <c r="F293">
        <v>150</v>
      </c>
      <c r="G293">
        <f t="shared" si="136"/>
        <v>423</v>
      </c>
      <c r="H293">
        <f t="shared" si="127"/>
        <v>27.434909990175559</v>
      </c>
      <c r="J293">
        <v>1.1000000000000001</v>
      </c>
      <c r="K293">
        <f t="shared" si="137"/>
        <v>886975.94907423004</v>
      </c>
      <c r="L293">
        <f t="shared" si="128"/>
        <v>0.84544148339609637</v>
      </c>
      <c r="N293">
        <v>11</v>
      </c>
      <c r="O293">
        <f t="shared" si="131"/>
        <v>32010.513985437352</v>
      </c>
      <c r="P293">
        <f t="shared" si="129"/>
        <v>9.5403848219506523E-3</v>
      </c>
      <c r="R293">
        <f t="shared" si="132"/>
        <v>32010.513985437352</v>
      </c>
      <c r="S293">
        <f t="shared" si="130"/>
        <v>9.5403848219506523E-3</v>
      </c>
    </row>
    <row r="294" spans="6:19" x14ac:dyDescent="0.3">
      <c r="F294">
        <v>150</v>
      </c>
      <c r="G294">
        <f t="shared" si="136"/>
        <v>423</v>
      </c>
      <c r="H294">
        <f t="shared" si="127"/>
        <v>27.434909990175559</v>
      </c>
      <c r="J294">
        <v>1.2</v>
      </c>
      <c r="K294">
        <f t="shared" si="137"/>
        <v>536736.81236071826</v>
      </c>
      <c r="L294">
        <f t="shared" si="128"/>
        <v>0.75771010160624108</v>
      </c>
      <c r="N294">
        <v>12</v>
      </c>
      <c r="O294">
        <f t="shared" si="131"/>
        <v>20579.035128226504</v>
      </c>
      <c r="P294">
        <f t="shared" si="129"/>
        <v>7.1983331564525832E-4</v>
      </c>
      <c r="R294">
        <f t="shared" si="132"/>
        <v>20579.035128226504</v>
      </c>
      <c r="S294">
        <f t="shared" si="130"/>
        <v>7.1983331564525832E-4</v>
      </c>
    </row>
    <row r="295" spans="6:19" x14ac:dyDescent="0.3">
      <c r="F295">
        <v>150</v>
      </c>
      <c r="G295">
        <f t="shared" si="136"/>
        <v>423</v>
      </c>
      <c r="H295">
        <f t="shared" si="127"/>
        <v>27.434909990175559</v>
      </c>
      <c r="J295">
        <v>1.3</v>
      </c>
      <c r="K295">
        <f t="shared" si="137"/>
        <v>324796.18646236259</v>
      </c>
      <c r="L295">
        <f t="shared" si="128"/>
        <v>0.63222943521304686</v>
      </c>
      <c r="N295">
        <v>13</v>
      </c>
      <c r="O295">
        <f t="shared" si="131"/>
        <v>13706.41541113627</v>
      </c>
      <c r="P295">
        <f t="shared" si="129"/>
        <v>1.9115994649021125E-5</v>
      </c>
      <c r="R295">
        <f t="shared" si="132"/>
        <v>13706.41541113627</v>
      </c>
      <c r="S295">
        <f t="shared" si="130"/>
        <v>1.9115994649021125E-5</v>
      </c>
    </row>
    <row r="296" spans="6:19" x14ac:dyDescent="0.3">
      <c r="F296">
        <v>150</v>
      </c>
      <c r="G296">
        <f t="shared" si="136"/>
        <v>423</v>
      </c>
      <c r="H296">
        <f t="shared" si="127"/>
        <v>27.434909990175559</v>
      </c>
      <c r="J296">
        <v>1.4</v>
      </c>
      <c r="K296">
        <f t="shared" si="137"/>
        <v>196544.30311293213</v>
      </c>
      <c r="L296">
        <f t="shared" si="128"/>
        <v>0.46874715765988451</v>
      </c>
      <c r="N296">
        <v>14</v>
      </c>
      <c r="O296">
        <f t="shared" si="131"/>
        <v>9408.2614749242384</v>
      </c>
      <c r="P296">
        <f t="shared" si="129"/>
        <v>1.3356979190053126E-7</v>
      </c>
      <c r="R296">
        <f t="shared" si="132"/>
        <v>9408.2614749242384</v>
      </c>
      <c r="S296">
        <f t="shared" si="130"/>
        <v>1.3356979190053126E-7</v>
      </c>
    </row>
    <row r="297" spans="6:19" x14ac:dyDescent="0.3">
      <c r="F297">
        <v>150</v>
      </c>
      <c r="G297">
        <f t="shared" si="136"/>
        <v>423</v>
      </c>
      <c r="H297">
        <f t="shared" si="127"/>
        <v>27.434909990175559</v>
      </c>
      <c r="J297">
        <v>1.5</v>
      </c>
      <c r="K297">
        <f t="shared" si="137"/>
        <v>118935.08820684519</v>
      </c>
      <c r="L297">
        <f t="shared" si="128"/>
        <v>0.28590046025512683</v>
      </c>
      <c r="N297">
        <v>15</v>
      </c>
      <c r="O297">
        <f t="shared" si="131"/>
        <v>6627.8719373126514</v>
      </c>
      <c r="P297">
        <f t="shared" si="129"/>
        <v>1.7456038934834243E-10</v>
      </c>
      <c r="R297">
        <f t="shared" si="132"/>
        <v>6627.8719373126514</v>
      </c>
      <c r="S297">
        <f t="shared" si="130"/>
        <v>1.7456038934834243E-10</v>
      </c>
    </row>
    <row r="298" spans="6:19" x14ac:dyDescent="0.3">
      <c r="F298">
        <v>150</v>
      </c>
      <c r="G298">
        <f t="shared" si="136"/>
        <v>423</v>
      </c>
      <c r="H298">
        <f t="shared" si="127"/>
        <v>27.434909990175559</v>
      </c>
      <c r="J298">
        <v>1.6</v>
      </c>
      <c r="K298">
        <f t="shared" si="137"/>
        <v>71971.331566105975</v>
      </c>
      <c r="L298">
        <f t="shared" si="128"/>
        <v>0.12629217398615677</v>
      </c>
      <c r="N298">
        <v>16</v>
      </c>
      <c r="O298">
        <f t="shared" si="131"/>
        <v>4775.9642498435187</v>
      </c>
      <c r="P298">
        <f t="shared" si="129"/>
        <v>2.8721284547139685E-14</v>
      </c>
      <c r="R298">
        <f t="shared" si="132"/>
        <v>4775.9642498435187</v>
      </c>
      <c r="S298">
        <f t="shared" si="130"/>
        <v>2.8721284547139685E-14</v>
      </c>
    </row>
    <row r="299" spans="6:19" x14ac:dyDescent="0.3">
      <c r="F299">
        <v>150</v>
      </c>
      <c r="G299">
        <f t="shared" si="136"/>
        <v>423</v>
      </c>
      <c r="H299">
        <f t="shared" si="127"/>
        <v>27.434909990175559</v>
      </c>
      <c r="J299">
        <v>1.7</v>
      </c>
      <c r="K299">
        <f t="shared" si="137"/>
        <v>43552.097581075664</v>
      </c>
      <c r="L299">
        <f t="shared" si="128"/>
        <v>3.2733603365717748E-2</v>
      </c>
      <c r="N299">
        <v>17</v>
      </c>
      <c r="O299">
        <f t="shared" si="131"/>
        <v>3510.5770858102496</v>
      </c>
      <c r="P299">
        <f t="shared" si="129"/>
        <v>3.7762851228195447E-19</v>
      </c>
      <c r="R299">
        <f t="shared" si="132"/>
        <v>3510.5770858102496</v>
      </c>
      <c r="S299">
        <f t="shared" si="130"/>
        <v>3.7762851228195447E-19</v>
      </c>
    </row>
    <row r="300" spans="6:19" x14ac:dyDescent="0.3">
      <c r="F300">
        <v>150</v>
      </c>
      <c r="G300">
        <f>F300+273</f>
        <v>423</v>
      </c>
      <c r="H300">
        <f t="shared" si="127"/>
        <v>27.434909990175559</v>
      </c>
      <c r="J300">
        <v>1.8</v>
      </c>
      <c r="K300">
        <f t="shared" si="137"/>
        <v>26354.732675319865</v>
      </c>
      <c r="L300">
        <f t="shared" si="128"/>
        <v>3.5154138947733724E-3</v>
      </c>
      <c r="N300">
        <v>18</v>
      </c>
      <c r="O300">
        <f t="shared" si="131"/>
        <v>2626.269256437708</v>
      </c>
      <c r="P300">
        <f t="shared" si="129"/>
        <v>2.3646183429960336E-25</v>
      </c>
      <c r="R300">
        <f t="shared" si="132"/>
        <v>2626.269256437708</v>
      </c>
      <c r="S300">
        <f t="shared" si="130"/>
        <v>2.3646183429960336E-25</v>
      </c>
    </row>
    <row r="301" spans="6:19" x14ac:dyDescent="0.3">
      <c r="F301">
        <v>150</v>
      </c>
      <c r="G301">
        <f>F301+273</f>
        <v>423</v>
      </c>
      <c r="H301">
        <f t="shared" si="127"/>
        <v>27.434909990175559</v>
      </c>
      <c r="J301">
        <v>1.9</v>
      </c>
      <c r="K301">
        <f t="shared" si="137"/>
        <v>15948.070769601269</v>
      </c>
      <c r="L301">
        <f t="shared" si="128"/>
        <v>8.8032317261285928E-5</v>
      </c>
      <c r="N301">
        <v>19</v>
      </c>
      <c r="O301">
        <f t="shared" si="131"/>
        <v>1995.7968540202307</v>
      </c>
      <c r="P301">
        <f t="shared" si="129"/>
        <v>3.9294339824546511E-33</v>
      </c>
      <c r="R301">
        <f t="shared" si="132"/>
        <v>1995.7968540202307</v>
      </c>
      <c r="S301">
        <f t="shared" si="130"/>
        <v>3.9294339824546511E-33</v>
      </c>
    </row>
    <row r="302" spans="6:19" x14ac:dyDescent="0.3">
      <c r="F302">
        <v>150</v>
      </c>
      <c r="G302">
        <f t="shared" ref="G302:G365" si="138">F302+273</f>
        <v>423</v>
      </c>
      <c r="H302">
        <f t="shared" si="127"/>
        <v>27.434909990175559</v>
      </c>
      <c r="J302">
        <v>2</v>
      </c>
      <c r="K302">
        <f t="shared" ref="K302:K304" si="139">$C$7*EXP($C$5*H302)*EXP(-$C$6*J302)</f>
        <v>9650.6750573262143</v>
      </c>
      <c r="L302">
        <f t="shared" si="128"/>
        <v>1.9878442575671713E-7</v>
      </c>
      <c r="N302">
        <v>20</v>
      </c>
      <c r="O302">
        <f t="shared" si="131"/>
        <v>1538.1906502374632</v>
      </c>
      <c r="P302">
        <f t="shared" si="129"/>
        <v>8.9899929318578334E-43</v>
      </c>
      <c r="R302">
        <f t="shared" si="132"/>
        <v>1538.1906502374632</v>
      </c>
      <c r="S302">
        <f t="shared" si="130"/>
        <v>8.9899929318578334E-43</v>
      </c>
    </row>
    <row r="303" spans="6:19" x14ac:dyDescent="0.3">
      <c r="F303">
        <v>160</v>
      </c>
      <c r="G303">
        <f t="shared" si="138"/>
        <v>433</v>
      </c>
      <c r="H303">
        <f t="shared" si="127"/>
        <v>26.801309297561808</v>
      </c>
      <c r="J303">
        <v>0.1</v>
      </c>
      <c r="K303">
        <f t="shared" si="139"/>
        <v>96570062.787039742</v>
      </c>
      <c r="L303">
        <f t="shared" si="128"/>
        <v>0.99845909559883395</v>
      </c>
      <c r="N303">
        <v>1</v>
      </c>
      <c r="O303">
        <f t="shared" si="131"/>
        <v>4940192714.852458</v>
      </c>
      <c r="P303">
        <f t="shared" si="129"/>
        <v>0.99996985588132825</v>
      </c>
      <c r="R303">
        <f t="shared" si="132"/>
        <v>96570062.787039742</v>
      </c>
      <c r="S303">
        <f t="shared" si="130"/>
        <v>0.99845909559883395</v>
      </c>
    </row>
    <row r="304" spans="6:19" x14ac:dyDescent="0.3">
      <c r="F304">
        <v>160</v>
      </c>
      <c r="G304">
        <f t="shared" si="138"/>
        <v>433</v>
      </c>
      <c r="H304">
        <f t="shared" si="127"/>
        <v>26.801309297561808</v>
      </c>
      <c r="J304">
        <v>0.2</v>
      </c>
      <c r="K304">
        <f t="shared" si="139"/>
        <v>58437557.099366494</v>
      </c>
      <c r="L304">
        <f t="shared" si="128"/>
        <v>0.99745488316942865</v>
      </c>
      <c r="N304">
        <v>2</v>
      </c>
      <c r="O304">
        <f t="shared" si="131"/>
        <v>146316798.82661426</v>
      </c>
      <c r="P304">
        <f t="shared" si="129"/>
        <v>0.99898272623417084</v>
      </c>
      <c r="R304">
        <f t="shared" si="132"/>
        <v>58437557.099366494</v>
      </c>
      <c r="S304">
        <f t="shared" si="130"/>
        <v>0.99745488316942865</v>
      </c>
    </row>
    <row r="305" spans="6:19" x14ac:dyDescent="0.3">
      <c r="F305">
        <v>160</v>
      </c>
      <c r="G305">
        <f t="shared" si="138"/>
        <v>433</v>
      </c>
      <c r="H305">
        <f t="shared" si="127"/>
        <v>26.801309297561808</v>
      </c>
      <c r="J305">
        <v>0.3</v>
      </c>
      <c r="K305">
        <f t="shared" ref="K305:K324" si="140">$C$7*EXP($C$5*H305)*EXP(-$C$6*J305)</f>
        <v>35362388.520679571</v>
      </c>
      <c r="L305">
        <f t="shared" si="128"/>
        <v>0.99579760089871427</v>
      </c>
      <c r="N305">
        <v>3</v>
      </c>
      <c r="O305">
        <f t="shared" si="131"/>
        <v>18672756.427323945</v>
      </c>
      <c r="P305">
        <f t="shared" si="129"/>
        <v>0.9920564626549726</v>
      </c>
      <c r="R305">
        <f t="shared" si="132"/>
        <v>18672756.427323945</v>
      </c>
      <c r="S305">
        <f t="shared" si="130"/>
        <v>0.9920564626549726</v>
      </c>
    </row>
    <row r="306" spans="6:19" x14ac:dyDescent="0.3">
      <c r="F306">
        <v>160</v>
      </c>
      <c r="G306">
        <f t="shared" si="138"/>
        <v>433</v>
      </c>
      <c r="H306">
        <f t="shared" si="127"/>
        <v>26.801309297561808</v>
      </c>
      <c r="J306">
        <v>0.4</v>
      </c>
      <c r="K306">
        <f t="shared" si="140"/>
        <v>21398884.278498471</v>
      </c>
      <c r="L306">
        <f t="shared" si="128"/>
        <v>0.99306491810840558</v>
      </c>
      <c r="N306">
        <v>4</v>
      </c>
      <c r="O306">
        <f t="shared" si="131"/>
        <v>4333556.7769459561</v>
      </c>
      <c r="P306">
        <f t="shared" si="129"/>
        <v>0.96621936765146121</v>
      </c>
      <c r="R306">
        <f t="shared" si="132"/>
        <v>4333556.7769459561</v>
      </c>
      <c r="S306">
        <f t="shared" si="130"/>
        <v>0.96621936765146121</v>
      </c>
    </row>
    <row r="307" spans="6:19" x14ac:dyDescent="0.3">
      <c r="F307">
        <v>160</v>
      </c>
      <c r="G307">
        <f t="shared" si="138"/>
        <v>433</v>
      </c>
      <c r="H307">
        <f t="shared" si="127"/>
        <v>26.801309297561808</v>
      </c>
      <c r="J307">
        <v>0.5</v>
      </c>
      <c r="K307">
        <f t="shared" si="140"/>
        <v>12949132.327325299</v>
      </c>
      <c r="L307">
        <f t="shared" si="128"/>
        <v>0.98856549219827683</v>
      </c>
      <c r="N307">
        <v>5</v>
      </c>
      <c r="O307">
        <f t="shared" si="131"/>
        <v>1395704.860393347</v>
      </c>
      <c r="P307">
        <f t="shared" si="129"/>
        <v>0.89879637142420599</v>
      </c>
      <c r="R307">
        <f t="shared" si="132"/>
        <v>1395704.860393347</v>
      </c>
      <c r="S307">
        <f t="shared" si="130"/>
        <v>0.89879637142420599</v>
      </c>
    </row>
    <row r="308" spans="6:19" x14ac:dyDescent="0.3">
      <c r="F308">
        <v>160</v>
      </c>
      <c r="G308">
        <f t="shared" si="138"/>
        <v>433</v>
      </c>
      <c r="H308">
        <f t="shared" si="127"/>
        <v>26.801309297561808</v>
      </c>
      <c r="J308">
        <v>0.6</v>
      </c>
      <c r="K308">
        <f t="shared" si="140"/>
        <v>7835923.866323512</v>
      </c>
      <c r="L308">
        <f t="shared" si="128"/>
        <v>0.98117467336566444</v>
      </c>
      <c r="N308">
        <v>6</v>
      </c>
      <c r="O308">
        <f t="shared" si="131"/>
        <v>553042.78667127306</v>
      </c>
      <c r="P308">
        <f t="shared" si="129"/>
        <v>0.76393396894213583</v>
      </c>
      <c r="R308">
        <f t="shared" si="132"/>
        <v>553042.78667127306</v>
      </c>
      <c r="S308">
        <f t="shared" si="130"/>
        <v>0.76393396894213583</v>
      </c>
    </row>
    <row r="309" spans="6:19" x14ac:dyDescent="0.3">
      <c r="F309">
        <v>160</v>
      </c>
      <c r="G309">
        <f t="shared" si="138"/>
        <v>433</v>
      </c>
      <c r="H309">
        <f t="shared" si="127"/>
        <v>26.801309297561808</v>
      </c>
      <c r="J309">
        <v>0.7</v>
      </c>
      <c r="K309">
        <f t="shared" si="140"/>
        <v>4741761.9410103932</v>
      </c>
      <c r="L309">
        <f t="shared" si="128"/>
        <v>0.9690820000072915</v>
      </c>
      <c r="N309">
        <v>7</v>
      </c>
      <c r="O309">
        <f t="shared" si="131"/>
        <v>252838.44025745057</v>
      </c>
      <c r="P309">
        <f t="shared" si="129"/>
        <v>0.55488593025181709</v>
      </c>
      <c r="R309">
        <f t="shared" si="132"/>
        <v>252838.44025745057</v>
      </c>
      <c r="S309">
        <f t="shared" si="130"/>
        <v>0.55488593025181709</v>
      </c>
    </row>
    <row r="310" spans="6:19" x14ac:dyDescent="0.3">
      <c r="F310">
        <v>160</v>
      </c>
      <c r="G310">
        <f t="shared" si="138"/>
        <v>433</v>
      </c>
      <c r="H310">
        <f t="shared" si="127"/>
        <v>26.801309297561808</v>
      </c>
      <c r="J310">
        <v>0.8</v>
      </c>
      <c r="K310">
        <f t="shared" si="140"/>
        <v>2869388.0503159994</v>
      </c>
      <c r="L310">
        <f t="shared" si="128"/>
        <v>0.94942421470555782</v>
      </c>
      <c r="N310">
        <v>8</v>
      </c>
      <c r="O310">
        <f t="shared" si="131"/>
        <v>128349.68021182745</v>
      </c>
      <c r="P310">
        <f t="shared" si="129"/>
        <v>0.31340224318522242</v>
      </c>
      <c r="R310">
        <f t="shared" si="132"/>
        <v>128349.68021182745</v>
      </c>
      <c r="S310">
        <f t="shared" si="130"/>
        <v>0.31340224318522242</v>
      </c>
    </row>
    <row r="311" spans="6:19" x14ac:dyDescent="0.3">
      <c r="F311">
        <v>160</v>
      </c>
      <c r="G311">
        <f t="shared" si="138"/>
        <v>433</v>
      </c>
      <c r="H311">
        <f t="shared" si="127"/>
        <v>26.801309297561808</v>
      </c>
      <c r="J311">
        <v>0.9</v>
      </c>
      <c r="K311">
        <f t="shared" si="140"/>
        <v>1736356.2080347398</v>
      </c>
      <c r="L311">
        <f t="shared" si="128"/>
        <v>0.91780914599683827</v>
      </c>
      <c r="N311">
        <v>9</v>
      </c>
      <c r="O311">
        <f t="shared" si="131"/>
        <v>70578.589281730252</v>
      </c>
      <c r="P311">
        <f t="shared" si="129"/>
        <v>0.12123938082887642</v>
      </c>
      <c r="R311">
        <f t="shared" si="132"/>
        <v>70578.589281730252</v>
      </c>
      <c r="S311">
        <f t="shared" si="130"/>
        <v>0.12123938082887642</v>
      </c>
    </row>
    <row r="312" spans="6:19" x14ac:dyDescent="0.3">
      <c r="F312">
        <v>160</v>
      </c>
      <c r="G312">
        <f t="shared" si="138"/>
        <v>433</v>
      </c>
      <c r="H312">
        <f t="shared" si="127"/>
        <v>26.801309297561808</v>
      </c>
      <c r="J312">
        <v>1</v>
      </c>
      <c r="K312">
        <f t="shared" si="140"/>
        <v>1050723.299990308</v>
      </c>
      <c r="L312">
        <f t="shared" si="128"/>
        <v>0.86785473088463505</v>
      </c>
      <c r="N312">
        <v>10</v>
      </c>
      <c r="O312">
        <f t="shared" si="131"/>
        <v>41337.469824919484</v>
      </c>
      <c r="P312">
        <f t="shared" si="129"/>
        <v>2.7254334773447252E-2</v>
      </c>
      <c r="R312">
        <f t="shared" si="132"/>
        <v>41337.469824919484</v>
      </c>
      <c r="S312">
        <f t="shared" si="130"/>
        <v>2.7254334773447252E-2</v>
      </c>
    </row>
    <row r="313" spans="6:19" x14ac:dyDescent="0.3">
      <c r="F313">
        <v>160</v>
      </c>
      <c r="G313">
        <f t="shared" si="138"/>
        <v>433</v>
      </c>
      <c r="H313">
        <f t="shared" si="127"/>
        <v>26.801309297561808</v>
      </c>
      <c r="J313">
        <v>1.1000000000000001</v>
      </c>
      <c r="K313">
        <f t="shared" si="140"/>
        <v>635825.44182687276</v>
      </c>
      <c r="L313">
        <f t="shared" si="128"/>
        <v>0.7911915120299603</v>
      </c>
      <c r="N313">
        <v>11</v>
      </c>
      <c r="O313">
        <f t="shared" si="131"/>
        <v>25478.665155513405</v>
      </c>
      <c r="P313">
        <f t="shared" si="129"/>
        <v>2.8946525595084736E-3</v>
      </c>
      <c r="R313">
        <f t="shared" si="132"/>
        <v>25478.665155513405</v>
      </c>
      <c r="S313">
        <f t="shared" si="130"/>
        <v>2.8946525595084736E-3</v>
      </c>
    </row>
    <row r="314" spans="6:19" x14ac:dyDescent="0.3">
      <c r="F314">
        <v>160</v>
      </c>
      <c r="G314">
        <f t="shared" si="138"/>
        <v>433</v>
      </c>
      <c r="H314">
        <f t="shared" si="127"/>
        <v>26.801309297561808</v>
      </c>
      <c r="J314">
        <v>1.2</v>
      </c>
      <c r="K314">
        <f t="shared" si="140"/>
        <v>384757.80681561684</v>
      </c>
      <c r="L314">
        <f t="shared" si="128"/>
        <v>0.67905803977878443</v>
      </c>
      <c r="N314">
        <v>12</v>
      </c>
      <c r="O314">
        <f t="shared" si="131"/>
        <v>16379.816503232796</v>
      </c>
      <c r="P314">
        <f t="shared" si="129"/>
        <v>1.1259908808715873E-4</v>
      </c>
      <c r="R314">
        <f t="shared" si="132"/>
        <v>16379.816503232796</v>
      </c>
      <c r="S314">
        <f t="shared" si="130"/>
        <v>1.1259908808715873E-4</v>
      </c>
    </row>
    <row r="315" spans="6:19" x14ac:dyDescent="0.3">
      <c r="F315">
        <v>160</v>
      </c>
      <c r="G315">
        <f t="shared" si="138"/>
        <v>433</v>
      </c>
      <c r="H315">
        <f t="shared" si="127"/>
        <v>26.801309297561808</v>
      </c>
      <c r="J315">
        <v>1.3</v>
      </c>
      <c r="K315">
        <f t="shared" si="140"/>
        <v>232828.94984543952</v>
      </c>
      <c r="L315">
        <f t="shared" si="128"/>
        <v>0.52749748427147347</v>
      </c>
      <c r="N315">
        <v>13</v>
      </c>
      <c r="O315">
        <f t="shared" si="131"/>
        <v>10909.577050264859</v>
      </c>
      <c r="P315">
        <f t="shared" si="129"/>
        <v>1.1795333091938972E-6</v>
      </c>
      <c r="R315">
        <f t="shared" si="132"/>
        <v>10909.577050264859</v>
      </c>
      <c r="S315">
        <f t="shared" si="130"/>
        <v>1.1795333091938972E-6</v>
      </c>
    </row>
    <row r="316" spans="6:19" x14ac:dyDescent="0.3">
      <c r="F316">
        <v>160</v>
      </c>
      <c r="G316">
        <f t="shared" si="138"/>
        <v>433</v>
      </c>
      <c r="H316">
        <f t="shared" si="127"/>
        <v>26.801309297561808</v>
      </c>
      <c r="J316">
        <v>1.4</v>
      </c>
      <c r="K316">
        <f t="shared" si="140"/>
        <v>140892.0596953824</v>
      </c>
      <c r="L316">
        <f t="shared" si="128"/>
        <v>0.34750390852454527</v>
      </c>
      <c r="N316">
        <v>14</v>
      </c>
      <c r="O316">
        <f t="shared" si="131"/>
        <v>7488.47531545927</v>
      </c>
      <c r="P316">
        <f t="shared" si="129"/>
        <v>2.3087532548934364E-9</v>
      </c>
      <c r="R316">
        <f t="shared" si="132"/>
        <v>7488.47531545927</v>
      </c>
      <c r="S316">
        <f t="shared" si="130"/>
        <v>2.3087532548934364E-9</v>
      </c>
    </row>
    <row r="317" spans="6:19" x14ac:dyDescent="0.3">
      <c r="F317">
        <v>160</v>
      </c>
      <c r="G317">
        <f t="shared" si="138"/>
        <v>433</v>
      </c>
      <c r="H317">
        <f t="shared" si="127"/>
        <v>26.801309297561808</v>
      </c>
      <c r="J317">
        <v>1.5</v>
      </c>
      <c r="K317">
        <f t="shared" si="140"/>
        <v>85258.17987146652</v>
      </c>
      <c r="L317">
        <f t="shared" si="128"/>
        <v>0.17434929107019995</v>
      </c>
      <c r="N317">
        <v>15</v>
      </c>
      <c r="O317">
        <f t="shared" si="131"/>
        <v>5275.4332486269132</v>
      </c>
      <c r="P317">
        <f t="shared" si="129"/>
        <v>5.4994335804127678E-13</v>
      </c>
      <c r="R317">
        <f t="shared" si="132"/>
        <v>5275.4332486269132</v>
      </c>
      <c r="S317">
        <f t="shared" si="130"/>
        <v>5.4994335804127678E-13</v>
      </c>
    </row>
    <row r="318" spans="6:19" x14ac:dyDescent="0.3">
      <c r="F318">
        <v>160</v>
      </c>
      <c r="G318">
        <f t="shared" si="138"/>
        <v>433</v>
      </c>
      <c r="H318">
        <f t="shared" si="127"/>
        <v>26.801309297561808</v>
      </c>
      <c r="J318">
        <v>1.6</v>
      </c>
      <c r="K318">
        <f t="shared" si="140"/>
        <v>51592.383919372747</v>
      </c>
      <c r="L318">
        <f t="shared" si="128"/>
        <v>5.5772601064388409E-2</v>
      </c>
      <c r="N318">
        <v>16</v>
      </c>
      <c r="O318">
        <f t="shared" si="131"/>
        <v>3801.4133097589256</v>
      </c>
      <c r="P318">
        <f t="shared" si="129"/>
        <v>9.6951723105960799E-18</v>
      </c>
      <c r="R318">
        <f t="shared" si="132"/>
        <v>3801.4133097589256</v>
      </c>
      <c r="S318">
        <f t="shared" si="130"/>
        <v>9.6951723105960799E-18</v>
      </c>
    </row>
    <row r="319" spans="6:19" x14ac:dyDescent="0.3">
      <c r="F319">
        <v>160</v>
      </c>
      <c r="G319">
        <f t="shared" si="138"/>
        <v>433</v>
      </c>
      <c r="H319">
        <f t="shared" si="127"/>
        <v>26.801309297561808</v>
      </c>
      <c r="J319">
        <v>1.7</v>
      </c>
      <c r="K319">
        <f t="shared" si="140"/>
        <v>31220.16072237043</v>
      </c>
      <c r="L319">
        <f t="shared" si="128"/>
        <v>8.4804254263031488E-3</v>
      </c>
      <c r="N319">
        <v>17</v>
      </c>
      <c r="O319">
        <f t="shared" si="131"/>
        <v>2794.2324860097165</v>
      </c>
      <c r="P319">
        <f t="shared" si="129"/>
        <v>7.1459694164162342E-24</v>
      </c>
      <c r="R319">
        <f t="shared" si="132"/>
        <v>2794.2324860097165</v>
      </c>
      <c r="S319">
        <f t="shared" si="130"/>
        <v>7.1459694164162342E-24</v>
      </c>
    </row>
    <row r="320" spans="6:19" x14ac:dyDescent="0.3">
      <c r="F320">
        <v>160</v>
      </c>
      <c r="G320">
        <f t="shared" si="138"/>
        <v>433</v>
      </c>
      <c r="H320">
        <f t="shared" si="127"/>
        <v>26.801309297561808</v>
      </c>
      <c r="J320">
        <v>1.8</v>
      </c>
      <c r="K320">
        <f t="shared" si="140"/>
        <v>18892.293037938955</v>
      </c>
      <c r="L320">
        <f t="shared" si="128"/>
        <v>3.7725869799955599E-4</v>
      </c>
      <c r="N320">
        <v>18</v>
      </c>
      <c r="O320">
        <f t="shared" si="131"/>
        <v>2090.3705271160866</v>
      </c>
      <c r="P320">
        <f t="shared" si="129"/>
        <v>1.149330236159554E-31</v>
      </c>
      <c r="R320">
        <f t="shared" si="132"/>
        <v>2090.3705271160866</v>
      </c>
      <c r="S320">
        <f t="shared" si="130"/>
        <v>1.149330236159554E-31</v>
      </c>
    </row>
    <row r="321" spans="6:19" x14ac:dyDescent="0.3">
      <c r="F321">
        <v>160</v>
      </c>
      <c r="G321">
        <f t="shared" si="138"/>
        <v>433</v>
      </c>
      <c r="H321">
        <f t="shared" si="127"/>
        <v>26.801309297561808</v>
      </c>
      <c r="J321">
        <v>1.9</v>
      </c>
      <c r="K321">
        <f t="shared" si="140"/>
        <v>11432.315784832335</v>
      </c>
      <c r="L321">
        <f t="shared" si="128"/>
        <v>2.2018069357765447E-6</v>
      </c>
      <c r="N321">
        <v>19</v>
      </c>
      <c r="O321">
        <f t="shared" si="131"/>
        <v>1588.5480559650493</v>
      </c>
      <c r="P321">
        <f t="shared" si="129"/>
        <v>1.9348024228436238E-41</v>
      </c>
      <c r="R321">
        <f t="shared" si="132"/>
        <v>1588.5480559650493</v>
      </c>
      <c r="S321">
        <f t="shared" si="130"/>
        <v>1.9348024228436238E-41</v>
      </c>
    </row>
    <row r="322" spans="6:19" x14ac:dyDescent="0.3">
      <c r="F322">
        <v>160</v>
      </c>
      <c r="G322">
        <f t="shared" si="138"/>
        <v>433</v>
      </c>
      <c r="H322">
        <f t="shared" si="127"/>
        <v>26.801309297561808</v>
      </c>
      <c r="J322">
        <v>2</v>
      </c>
      <c r="K322">
        <f t="shared" si="140"/>
        <v>6918.0508655917265</v>
      </c>
      <c r="L322">
        <f t="shared" si="128"/>
        <v>4.4797017615055597E-10</v>
      </c>
      <c r="N322">
        <v>20</v>
      </c>
      <c r="O322">
        <f t="shared" si="131"/>
        <v>1224.3178769504004</v>
      </c>
      <c r="P322">
        <f t="shared" si="129"/>
        <v>1.4947101435372479E-53</v>
      </c>
      <c r="R322">
        <f t="shared" si="132"/>
        <v>1224.3178769504004</v>
      </c>
      <c r="S322">
        <f t="shared" si="130"/>
        <v>1.4947101435372479E-53</v>
      </c>
    </row>
    <row r="323" spans="6:19" x14ac:dyDescent="0.3">
      <c r="F323">
        <v>170</v>
      </c>
      <c r="G323">
        <f t="shared" si="138"/>
        <v>443</v>
      </c>
      <c r="H323">
        <f t="shared" ref="H323:H386" si="141">1/($B$18*G323)</f>
        <v>26.196313602357247</v>
      </c>
      <c r="J323">
        <v>0.1</v>
      </c>
      <c r="K323">
        <f t="shared" si="140"/>
        <v>70274151.7223984</v>
      </c>
      <c r="L323">
        <f t="shared" ref="L323:L386" si="142">EXP(-$B$22/K323)</f>
        <v>0.99788311466732316</v>
      </c>
      <c r="N323">
        <v>1</v>
      </c>
      <c r="O323">
        <f t="shared" si="131"/>
        <v>3972854651.6357903</v>
      </c>
      <c r="P323">
        <f t="shared" ref="P323:P386" si="143">EXP(-$B$22/O323)</f>
        <v>0.99996251632088118</v>
      </c>
      <c r="R323">
        <f t="shared" si="132"/>
        <v>70274151.7223984</v>
      </c>
      <c r="S323">
        <f t="shared" ref="S323:S386" si="144">EXP(-$B$22/R323)</f>
        <v>0.99788311466732316</v>
      </c>
    </row>
    <row r="324" spans="6:19" x14ac:dyDescent="0.3">
      <c r="F324">
        <v>170</v>
      </c>
      <c r="G324">
        <f t="shared" si="138"/>
        <v>443</v>
      </c>
      <c r="H324">
        <f t="shared" si="141"/>
        <v>26.196313602357247</v>
      </c>
      <c r="J324">
        <v>0.2</v>
      </c>
      <c r="K324">
        <f t="shared" si="140"/>
        <v>42525081.121085659</v>
      </c>
      <c r="L324">
        <f t="shared" si="142"/>
        <v>0.99650419126223888</v>
      </c>
      <c r="N324">
        <v>2</v>
      </c>
      <c r="O324">
        <f t="shared" ref="O324:O387" si="145">$C$11*POWER(N324,-$C$10)*EXP($C$9*H324)</f>
        <v>117666538.20672527</v>
      </c>
      <c r="P324">
        <f t="shared" si="143"/>
        <v>0.99873519010028144</v>
      </c>
      <c r="R324">
        <f t="shared" ref="R324:R387" si="146">MIN(K324,O324)</f>
        <v>42525081.121085659</v>
      </c>
      <c r="S324">
        <f t="shared" si="144"/>
        <v>0.99650419126223888</v>
      </c>
    </row>
    <row r="325" spans="6:19" x14ac:dyDescent="0.3">
      <c r="F325">
        <v>170</v>
      </c>
      <c r="G325">
        <f t="shared" si="138"/>
        <v>443</v>
      </c>
      <c r="H325">
        <f t="shared" si="141"/>
        <v>26.196313602357247</v>
      </c>
      <c r="J325">
        <v>0.3</v>
      </c>
      <c r="K325">
        <f t="shared" ref="K325:K344" si="147">$C$7*EXP($C$5*H325)*EXP(-$C$6*J325)</f>
        <v>25733252.981814828</v>
      </c>
      <c r="L325">
        <f t="shared" si="142"/>
        <v>0.99422964810198122</v>
      </c>
      <c r="N325">
        <v>3</v>
      </c>
      <c r="O325">
        <f t="shared" si="145"/>
        <v>15016448.044248328</v>
      </c>
      <c r="P325">
        <f t="shared" si="143"/>
        <v>0.99013188702219879</v>
      </c>
      <c r="R325">
        <f t="shared" si="146"/>
        <v>15016448.044248328</v>
      </c>
      <c r="S325">
        <f t="shared" si="144"/>
        <v>0.99013188702219879</v>
      </c>
    </row>
    <row r="326" spans="6:19" x14ac:dyDescent="0.3">
      <c r="F326">
        <v>170</v>
      </c>
      <c r="G326">
        <f t="shared" si="138"/>
        <v>443</v>
      </c>
      <c r="H326">
        <f t="shared" si="141"/>
        <v>26.196313602357247</v>
      </c>
      <c r="J326">
        <v>0.4</v>
      </c>
      <c r="K326">
        <f t="shared" si="147"/>
        <v>15571994.02255193</v>
      </c>
      <c r="L326">
        <f t="shared" si="142"/>
        <v>0.99048226069537137</v>
      </c>
      <c r="N326">
        <v>4</v>
      </c>
      <c r="O326">
        <f t="shared" si="145"/>
        <v>3485003.965059231</v>
      </c>
      <c r="P326">
        <f t="shared" si="143"/>
        <v>0.95816847174684006</v>
      </c>
      <c r="R326">
        <f t="shared" si="146"/>
        <v>3485003.965059231</v>
      </c>
      <c r="S326">
        <f t="shared" si="144"/>
        <v>0.95816847174684006</v>
      </c>
    </row>
    <row r="327" spans="6:19" x14ac:dyDescent="0.3">
      <c r="F327">
        <v>170</v>
      </c>
      <c r="G327">
        <f t="shared" si="138"/>
        <v>443</v>
      </c>
      <c r="H327">
        <f t="shared" si="141"/>
        <v>26.196313602357247</v>
      </c>
      <c r="J327">
        <v>0.5</v>
      </c>
      <c r="K327">
        <f t="shared" si="147"/>
        <v>9423099.2875154037</v>
      </c>
      <c r="L327">
        <f t="shared" si="142"/>
        <v>0.9843205058923582</v>
      </c>
      <c r="N327">
        <v>5</v>
      </c>
      <c r="O327">
        <f t="shared" si="145"/>
        <v>1122412.1946202242</v>
      </c>
      <c r="P327">
        <f t="shared" si="143"/>
        <v>0.87574657314166759</v>
      </c>
      <c r="R327">
        <f t="shared" si="146"/>
        <v>1122412.1946202242</v>
      </c>
      <c r="S327">
        <f t="shared" si="144"/>
        <v>0.87574657314166759</v>
      </c>
    </row>
    <row r="328" spans="6:19" x14ac:dyDescent="0.3">
      <c r="F328">
        <v>170</v>
      </c>
      <c r="G328">
        <f t="shared" si="138"/>
        <v>443</v>
      </c>
      <c r="H328">
        <f t="shared" si="141"/>
        <v>26.196313602357247</v>
      </c>
      <c r="J328">
        <v>0.6</v>
      </c>
      <c r="K328">
        <f t="shared" si="147"/>
        <v>5702211.2937994618</v>
      </c>
      <c r="L328">
        <f t="shared" si="142"/>
        <v>0.97422189392651182</v>
      </c>
      <c r="N328">
        <v>6</v>
      </c>
      <c r="O328">
        <f t="shared" si="145"/>
        <v>444751.59865220089</v>
      </c>
      <c r="P328">
        <f t="shared" si="143"/>
        <v>0.71545355548506973</v>
      </c>
      <c r="R328">
        <f t="shared" si="146"/>
        <v>444751.59865220089</v>
      </c>
      <c r="S328">
        <f t="shared" si="144"/>
        <v>0.71545355548506973</v>
      </c>
    </row>
    <row r="329" spans="6:19" x14ac:dyDescent="0.3">
      <c r="F329">
        <v>170</v>
      </c>
      <c r="G329">
        <f t="shared" si="138"/>
        <v>443</v>
      </c>
      <c r="H329">
        <f t="shared" si="141"/>
        <v>26.196313602357247</v>
      </c>
      <c r="J329">
        <v>0.7</v>
      </c>
      <c r="K329">
        <f t="shared" si="147"/>
        <v>3450585.9109659726</v>
      </c>
      <c r="L329">
        <f t="shared" si="142"/>
        <v>0.95776015937022785</v>
      </c>
      <c r="N329">
        <v>7</v>
      </c>
      <c r="O329">
        <f t="shared" si="145"/>
        <v>203330.20014972231</v>
      </c>
      <c r="P329">
        <f t="shared" si="143"/>
        <v>0.48075152214959754</v>
      </c>
      <c r="R329">
        <f t="shared" si="146"/>
        <v>203330.20014972231</v>
      </c>
      <c r="S329">
        <f t="shared" si="144"/>
        <v>0.48075152214959754</v>
      </c>
    </row>
    <row r="330" spans="6:19" x14ac:dyDescent="0.3">
      <c r="F330">
        <v>170</v>
      </c>
      <c r="G330">
        <f t="shared" si="138"/>
        <v>443</v>
      </c>
      <c r="H330">
        <f t="shared" si="141"/>
        <v>26.196313602357247</v>
      </c>
      <c r="J330">
        <v>0.8</v>
      </c>
      <c r="K330">
        <f t="shared" si="147"/>
        <v>2088057.1615969297</v>
      </c>
      <c r="L330">
        <f t="shared" si="142"/>
        <v>0.93116397759268099</v>
      </c>
      <c r="N330">
        <v>8</v>
      </c>
      <c r="O330">
        <f t="shared" si="145"/>
        <v>103217.55718810127</v>
      </c>
      <c r="P330">
        <f t="shared" si="143"/>
        <v>0.23627053418194963</v>
      </c>
      <c r="R330">
        <f t="shared" si="146"/>
        <v>103217.55718810127</v>
      </c>
      <c r="S330">
        <f t="shared" si="144"/>
        <v>0.23627053418194963</v>
      </c>
    </row>
    <row r="331" spans="6:19" x14ac:dyDescent="0.3">
      <c r="F331">
        <v>170</v>
      </c>
      <c r="G331">
        <f t="shared" si="138"/>
        <v>443</v>
      </c>
      <c r="H331">
        <f t="shared" si="141"/>
        <v>26.196313602357247</v>
      </c>
      <c r="J331">
        <v>0.9</v>
      </c>
      <c r="K331">
        <f t="shared" si="147"/>
        <v>1263548.516859177</v>
      </c>
      <c r="L331">
        <f t="shared" si="142"/>
        <v>0.88882176478485619</v>
      </c>
      <c r="N331">
        <v>9</v>
      </c>
      <c r="O331">
        <f t="shared" si="145"/>
        <v>56758.611033696943</v>
      </c>
      <c r="P331">
        <f t="shared" si="143"/>
        <v>7.2530881782667353E-2</v>
      </c>
      <c r="R331">
        <f t="shared" si="146"/>
        <v>56758.611033696943</v>
      </c>
      <c r="S331">
        <f t="shared" si="144"/>
        <v>7.2530881782667353E-2</v>
      </c>
    </row>
    <row r="332" spans="6:19" x14ac:dyDescent="0.3">
      <c r="F332">
        <v>170</v>
      </c>
      <c r="G332">
        <f t="shared" si="138"/>
        <v>443</v>
      </c>
      <c r="H332">
        <f t="shared" si="141"/>
        <v>26.196313602357247</v>
      </c>
      <c r="J332">
        <v>1</v>
      </c>
      <c r="K332">
        <f t="shared" si="147"/>
        <v>764612.61876374809</v>
      </c>
      <c r="L332">
        <f t="shared" si="142"/>
        <v>0.82302780655619001</v>
      </c>
      <c r="N332">
        <v>10</v>
      </c>
      <c r="O332">
        <f t="shared" si="145"/>
        <v>33243.188830881518</v>
      </c>
      <c r="P332">
        <f t="shared" si="143"/>
        <v>1.1336647611844768E-2</v>
      </c>
      <c r="R332">
        <f t="shared" si="146"/>
        <v>33243.188830881518</v>
      </c>
      <c r="S332">
        <f t="shared" si="144"/>
        <v>1.1336647611844768E-2</v>
      </c>
    </row>
    <row r="333" spans="6:19" x14ac:dyDescent="0.3">
      <c r="F333">
        <v>170</v>
      </c>
      <c r="G333">
        <f t="shared" si="138"/>
        <v>443</v>
      </c>
      <c r="H333">
        <f t="shared" si="141"/>
        <v>26.196313602357247</v>
      </c>
      <c r="J333">
        <v>1.1000000000000001</v>
      </c>
      <c r="K333">
        <f t="shared" si="147"/>
        <v>462690.94456775323</v>
      </c>
      <c r="L333">
        <f t="shared" si="142"/>
        <v>0.72480232983398962</v>
      </c>
      <c r="N333">
        <v>11</v>
      </c>
      <c r="O333">
        <f t="shared" si="145"/>
        <v>20489.693261606953</v>
      </c>
      <c r="P333">
        <f t="shared" si="143"/>
        <v>6.9747465485638007E-4</v>
      </c>
      <c r="R333">
        <f t="shared" si="146"/>
        <v>20489.693261606953</v>
      </c>
      <c r="S333">
        <f t="shared" si="144"/>
        <v>6.9747465485638007E-4</v>
      </c>
    </row>
    <row r="334" spans="6:19" x14ac:dyDescent="0.3">
      <c r="F334">
        <v>170</v>
      </c>
      <c r="G334">
        <f t="shared" si="138"/>
        <v>443</v>
      </c>
      <c r="H334">
        <f t="shared" si="141"/>
        <v>26.196313602357247</v>
      </c>
      <c r="J334">
        <v>1.2</v>
      </c>
      <c r="K334">
        <f t="shared" si="147"/>
        <v>279988.72230376798</v>
      </c>
      <c r="L334">
        <f t="shared" si="142"/>
        <v>0.58750027458282505</v>
      </c>
      <c r="N334">
        <v>12</v>
      </c>
      <c r="O334">
        <f t="shared" si="145"/>
        <v>13172.488189006326</v>
      </c>
      <c r="P334">
        <f t="shared" si="143"/>
        <v>1.2306522211741649E-5</v>
      </c>
      <c r="R334">
        <f t="shared" si="146"/>
        <v>13172.488189006326</v>
      </c>
      <c r="S334">
        <f t="shared" si="144"/>
        <v>1.2306522211741649E-5</v>
      </c>
    </row>
    <row r="335" spans="6:19" x14ac:dyDescent="0.3">
      <c r="F335">
        <v>170</v>
      </c>
      <c r="G335">
        <f t="shared" si="138"/>
        <v>443</v>
      </c>
      <c r="H335">
        <f t="shared" si="141"/>
        <v>26.196313602357247</v>
      </c>
      <c r="J335">
        <v>1.3</v>
      </c>
      <c r="K335">
        <f t="shared" si="147"/>
        <v>169429.90896554495</v>
      </c>
      <c r="L335">
        <f t="shared" si="142"/>
        <v>0.41521968804314058</v>
      </c>
      <c r="N335">
        <v>13</v>
      </c>
      <c r="O335">
        <f t="shared" si="145"/>
        <v>8773.3751359977559</v>
      </c>
      <c r="P335">
        <f t="shared" si="143"/>
        <v>4.2486338632915025E-8</v>
      </c>
      <c r="R335">
        <f t="shared" si="146"/>
        <v>8773.3751359977559</v>
      </c>
      <c r="S335">
        <f t="shared" si="144"/>
        <v>4.2486338632915025E-8</v>
      </c>
    </row>
    <row r="336" spans="6:19" x14ac:dyDescent="0.3">
      <c r="F336">
        <v>170</v>
      </c>
      <c r="G336">
        <f t="shared" si="138"/>
        <v>443</v>
      </c>
      <c r="H336">
        <f t="shared" si="141"/>
        <v>26.196313602357247</v>
      </c>
      <c r="J336">
        <v>1.4</v>
      </c>
      <c r="K336">
        <f t="shared" si="147"/>
        <v>102527.32258597325</v>
      </c>
      <c r="L336">
        <f t="shared" si="142"/>
        <v>0.23398673104250717</v>
      </c>
      <c r="N336">
        <v>14</v>
      </c>
      <c r="O336">
        <f t="shared" si="145"/>
        <v>6022.1585893275578</v>
      </c>
      <c r="P336">
        <f t="shared" si="143"/>
        <v>1.8216841803717038E-11</v>
      </c>
      <c r="R336">
        <f t="shared" si="146"/>
        <v>6022.1585893275578</v>
      </c>
      <c r="S336">
        <f t="shared" si="144"/>
        <v>1.8216841803717038E-11</v>
      </c>
    </row>
    <row r="337" spans="6:19" x14ac:dyDescent="0.3">
      <c r="F337">
        <v>170</v>
      </c>
      <c r="G337">
        <f t="shared" si="138"/>
        <v>443</v>
      </c>
      <c r="H337">
        <f t="shared" si="141"/>
        <v>26.196313602357247</v>
      </c>
      <c r="J337">
        <v>1.5</v>
      </c>
      <c r="K337">
        <f t="shared" si="147"/>
        <v>62042.480815980765</v>
      </c>
      <c r="L337">
        <f t="shared" si="142"/>
        <v>9.0691570367962604E-2</v>
      </c>
      <c r="N337">
        <v>15</v>
      </c>
      <c r="O337">
        <f t="shared" si="145"/>
        <v>4242.4518092564895</v>
      </c>
      <c r="P337">
        <f t="shared" si="143"/>
        <v>5.6917522354109137E-16</v>
      </c>
      <c r="R337">
        <f t="shared" si="146"/>
        <v>4242.4518092564895</v>
      </c>
      <c r="S337">
        <f t="shared" si="144"/>
        <v>5.6917522354109137E-16</v>
      </c>
    </row>
    <row r="338" spans="6:19" x14ac:dyDescent="0.3">
      <c r="F338">
        <v>170</v>
      </c>
      <c r="G338">
        <f t="shared" si="138"/>
        <v>443</v>
      </c>
      <c r="H338">
        <f t="shared" si="141"/>
        <v>26.196313602357247</v>
      </c>
      <c r="J338">
        <v>1.6</v>
      </c>
      <c r="K338">
        <f t="shared" si="147"/>
        <v>37543.840302408978</v>
      </c>
      <c r="L338">
        <f t="shared" si="142"/>
        <v>1.8938416673708675E-2</v>
      </c>
      <c r="N338">
        <v>16</v>
      </c>
      <c r="O338">
        <f t="shared" si="145"/>
        <v>3057.0593946793019</v>
      </c>
      <c r="P338">
        <f t="shared" si="143"/>
        <v>6.9823992926697718E-22</v>
      </c>
      <c r="R338">
        <f t="shared" si="146"/>
        <v>3057.0593946793019</v>
      </c>
      <c r="S338">
        <f t="shared" si="144"/>
        <v>6.9823992926697718E-22</v>
      </c>
    </row>
    <row r="339" spans="6:19" x14ac:dyDescent="0.3">
      <c r="F339">
        <v>170</v>
      </c>
      <c r="G339">
        <f t="shared" si="138"/>
        <v>443</v>
      </c>
      <c r="H339">
        <f t="shared" si="141"/>
        <v>26.196313602357247</v>
      </c>
      <c r="J339">
        <v>1.7</v>
      </c>
      <c r="K339">
        <f t="shared" si="147"/>
        <v>22718.948793061842</v>
      </c>
      <c r="L339">
        <f t="shared" si="142"/>
        <v>1.4231525743365599E-3</v>
      </c>
      <c r="N339">
        <v>17</v>
      </c>
      <c r="O339">
        <f t="shared" si="145"/>
        <v>2247.0944294178375</v>
      </c>
      <c r="P339">
        <f t="shared" si="143"/>
        <v>1.6532108850988521E-29</v>
      </c>
      <c r="R339">
        <f t="shared" si="146"/>
        <v>2247.0944294178375</v>
      </c>
      <c r="S339">
        <f t="shared" si="144"/>
        <v>1.6532108850988521E-29</v>
      </c>
    </row>
    <row r="340" spans="6:19" x14ac:dyDescent="0.3">
      <c r="F340">
        <v>170</v>
      </c>
      <c r="G340">
        <f t="shared" si="138"/>
        <v>443</v>
      </c>
      <c r="H340">
        <f t="shared" si="141"/>
        <v>26.196313602357247</v>
      </c>
      <c r="J340">
        <v>1.8</v>
      </c>
      <c r="K340">
        <f t="shared" si="147"/>
        <v>13747.944539084529</v>
      </c>
      <c r="L340">
        <f t="shared" si="142"/>
        <v>1.9753798936315832E-5</v>
      </c>
      <c r="N340">
        <v>18</v>
      </c>
      <c r="O340">
        <f t="shared" si="145"/>
        <v>1681.0555279205398</v>
      </c>
      <c r="P340">
        <f t="shared" si="143"/>
        <v>3.3656461751811777E-39</v>
      </c>
      <c r="R340">
        <f t="shared" si="146"/>
        <v>1681.0555279205398</v>
      </c>
      <c r="S340">
        <f t="shared" si="144"/>
        <v>3.3656461751811777E-39</v>
      </c>
    </row>
    <row r="341" spans="6:19" x14ac:dyDescent="0.3">
      <c r="F341">
        <v>170</v>
      </c>
      <c r="G341">
        <f t="shared" si="138"/>
        <v>443</v>
      </c>
      <c r="H341">
        <f t="shared" si="141"/>
        <v>26.196313602357247</v>
      </c>
      <c r="J341">
        <v>1.9</v>
      </c>
      <c r="K341">
        <f t="shared" si="147"/>
        <v>8319.3100513288482</v>
      </c>
      <c r="L341">
        <f t="shared" si="142"/>
        <v>1.6822931859388235E-8</v>
      </c>
      <c r="N341">
        <v>19</v>
      </c>
      <c r="O341">
        <f t="shared" si="145"/>
        <v>1277.494805924028</v>
      </c>
      <c r="P341">
        <f t="shared" si="143"/>
        <v>2.3630123195765901E-51</v>
      </c>
      <c r="R341">
        <f t="shared" si="146"/>
        <v>1277.494805924028</v>
      </c>
      <c r="S341">
        <f t="shared" si="144"/>
        <v>2.3630123195765901E-51</v>
      </c>
    </row>
    <row r="342" spans="6:19" x14ac:dyDescent="0.3">
      <c r="F342">
        <v>170</v>
      </c>
      <c r="G342">
        <f t="shared" si="138"/>
        <v>443</v>
      </c>
      <c r="H342">
        <f t="shared" si="141"/>
        <v>26.196313602357247</v>
      </c>
      <c r="J342">
        <v>2</v>
      </c>
      <c r="K342">
        <f t="shared" si="147"/>
        <v>5034.2739988060575</v>
      </c>
      <c r="L342">
        <f t="shared" si="142"/>
        <v>1.4224483742014584E-13</v>
      </c>
      <c r="N342">
        <v>20</v>
      </c>
      <c r="O342">
        <f t="shared" si="145"/>
        <v>984.58445920535746</v>
      </c>
      <c r="P342">
        <f t="shared" si="143"/>
        <v>2.0523603741930341E-66</v>
      </c>
      <c r="R342">
        <f t="shared" si="146"/>
        <v>984.58445920535746</v>
      </c>
      <c r="S342">
        <f t="shared" si="144"/>
        <v>2.0523603741930341E-66</v>
      </c>
    </row>
    <row r="343" spans="6:19" x14ac:dyDescent="0.3">
      <c r="F343">
        <v>180</v>
      </c>
      <c r="G343">
        <f t="shared" si="138"/>
        <v>453</v>
      </c>
      <c r="H343">
        <f t="shared" si="141"/>
        <v>25.618028533872543</v>
      </c>
      <c r="J343">
        <v>0.1</v>
      </c>
      <c r="K343">
        <f t="shared" si="147"/>
        <v>51861311.597319484</v>
      </c>
      <c r="L343">
        <f t="shared" si="142"/>
        <v>0.99713261412626564</v>
      </c>
      <c r="N343">
        <v>1</v>
      </c>
      <c r="O343">
        <f t="shared" si="145"/>
        <v>3225818157.9529748</v>
      </c>
      <c r="P343">
        <f t="shared" si="143"/>
        <v>0.99995383603312005</v>
      </c>
      <c r="R343">
        <f t="shared" si="146"/>
        <v>51861311.597319484</v>
      </c>
      <c r="S343">
        <f t="shared" si="144"/>
        <v>0.99713261412626564</v>
      </c>
    </row>
    <row r="344" spans="6:19" x14ac:dyDescent="0.3">
      <c r="F344">
        <v>180</v>
      </c>
      <c r="G344">
        <f t="shared" si="138"/>
        <v>453</v>
      </c>
      <c r="H344">
        <f t="shared" si="141"/>
        <v>25.618028533872543</v>
      </c>
      <c r="J344">
        <v>0.2</v>
      </c>
      <c r="K344">
        <f t="shared" si="147"/>
        <v>31382897.248391613</v>
      </c>
      <c r="L344">
        <f t="shared" si="142"/>
        <v>0.99526598118067822</v>
      </c>
      <c r="N344">
        <v>2</v>
      </c>
      <c r="O344">
        <f t="shared" si="145"/>
        <v>95541087.911292344</v>
      </c>
      <c r="P344">
        <f t="shared" si="143"/>
        <v>0.99844251303134357</v>
      </c>
      <c r="R344">
        <f t="shared" si="146"/>
        <v>31382897.248391613</v>
      </c>
      <c r="S344">
        <f t="shared" si="144"/>
        <v>0.99526598118067822</v>
      </c>
    </row>
    <row r="345" spans="6:19" x14ac:dyDescent="0.3">
      <c r="F345">
        <v>180</v>
      </c>
      <c r="G345">
        <f t="shared" si="138"/>
        <v>453</v>
      </c>
      <c r="H345">
        <f t="shared" si="141"/>
        <v>25.618028533872543</v>
      </c>
      <c r="J345">
        <v>0.3</v>
      </c>
      <c r="K345">
        <f t="shared" ref="K345:K364" si="148">$C$7*EXP($C$5*H345)*EXP(-$C$6*J345)</f>
        <v>18990769.985732701</v>
      </c>
      <c r="L345">
        <f t="shared" si="142"/>
        <v>0.99218896179187177</v>
      </c>
      <c r="N345">
        <v>3</v>
      </c>
      <c r="O345">
        <f t="shared" si="145"/>
        <v>12192827.328618422</v>
      </c>
      <c r="P345">
        <f t="shared" si="143"/>
        <v>0.98786054683417923</v>
      </c>
      <c r="R345">
        <f t="shared" si="146"/>
        <v>12192827.328618422</v>
      </c>
      <c r="S345">
        <f t="shared" si="144"/>
        <v>0.98786054683417923</v>
      </c>
    </row>
    <row r="346" spans="6:19" x14ac:dyDescent="0.3">
      <c r="F346">
        <v>180</v>
      </c>
      <c r="G346">
        <f t="shared" si="138"/>
        <v>453</v>
      </c>
      <c r="H346">
        <f t="shared" si="141"/>
        <v>25.618028533872543</v>
      </c>
      <c r="J346">
        <v>0.4</v>
      </c>
      <c r="K346">
        <f t="shared" si="148"/>
        <v>11491907.25752669</v>
      </c>
      <c r="L346">
        <f t="shared" si="142"/>
        <v>0.98712491777630007</v>
      </c>
      <c r="N346">
        <v>4</v>
      </c>
      <c r="O346">
        <f t="shared" si="145"/>
        <v>2829700.5696891993</v>
      </c>
      <c r="P346">
        <f t="shared" si="143"/>
        <v>0.94873337221541798</v>
      </c>
      <c r="R346">
        <f t="shared" si="146"/>
        <v>2829700.5696891993</v>
      </c>
      <c r="S346">
        <f t="shared" si="144"/>
        <v>0.94873337221541798</v>
      </c>
    </row>
    <row r="347" spans="6:19" x14ac:dyDescent="0.3">
      <c r="F347">
        <v>180</v>
      </c>
      <c r="G347">
        <f t="shared" si="138"/>
        <v>453</v>
      </c>
      <c r="H347">
        <f t="shared" si="141"/>
        <v>25.618028533872543</v>
      </c>
      <c r="J347">
        <v>0.5</v>
      </c>
      <c r="K347">
        <f t="shared" si="148"/>
        <v>6954111.5244306047</v>
      </c>
      <c r="L347">
        <f t="shared" si="142"/>
        <v>0.97881299650276121</v>
      </c>
      <c r="N347">
        <v>5</v>
      </c>
      <c r="O347">
        <f t="shared" si="145"/>
        <v>911359.20027252298</v>
      </c>
      <c r="P347">
        <f t="shared" si="143"/>
        <v>0.84924777946394103</v>
      </c>
      <c r="R347">
        <f t="shared" si="146"/>
        <v>911359.20027252298</v>
      </c>
      <c r="S347">
        <f t="shared" si="144"/>
        <v>0.84924777946394103</v>
      </c>
    </row>
    <row r="348" spans="6:19" x14ac:dyDescent="0.3">
      <c r="F348">
        <v>180</v>
      </c>
      <c r="G348">
        <f t="shared" si="138"/>
        <v>453</v>
      </c>
      <c r="H348">
        <f t="shared" si="141"/>
        <v>25.618028533872543</v>
      </c>
      <c r="J348">
        <v>0.6</v>
      </c>
      <c r="K348">
        <f t="shared" si="148"/>
        <v>4208149.7884126343</v>
      </c>
      <c r="L348">
        <f t="shared" si="142"/>
        <v>0.96523037636712516</v>
      </c>
      <c r="N348">
        <v>6</v>
      </c>
      <c r="O348">
        <f t="shared" si="145"/>
        <v>361122.64568253519</v>
      </c>
      <c r="P348">
        <f t="shared" si="143"/>
        <v>0.66207219444675303</v>
      </c>
      <c r="R348">
        <f t="shared" si="146"/>
        <v>361122.64568253519</v>
      </c>
      <c r="S348">
        <f t="shared" si="144"/>
        <v>0.66207219444675303</v>
      </c>
    </row>
    <row r="349" spans="6:19" x14ac:dyDescent="0.3">
      <c r="F349">
        <v>180</v>
      </c>
      <c r="G349">
        <f t="shared" si="138"/>
        <v>453</v>
      </c>
      <c r="H349">
        <f t="shared" si="141"/>
        <v>25.618028533872543</v>
      </c>
      <c r="J349">
        <v>0.7</v>
      </c>
      <c r="K349">
        <f t="shared" si="148"/>
        <v>2546482.6929371483</v>
      </c>
      <c r="L349">
        <f t="shared" si="142"/>
        <v>0.94319647740651635</v>
      </c>
      <c r="N349">
        <v>7</v>
      </c>
      <c r="O349">
        <f t="shared" si="145"/>
        <v>165096.96659381254</v>
      </c>
      <c r="P349">
        <f t="shared" si="143"/>
        <v>0.40575110003669879</v>
      </c>
      <c r="R349">
        <f t="shared" si="146"/>
        <v>165096.96659381254</v>
      </c>
      <c r="S349">
        <f t="shared" si="144"/>
        <v>0.40575110003669879</v>
      </c>
    </row>
    <row r="350" spans="6:19" x14ac:dyDescent="0.3">
      <c r="F350">
        <v>180</v>
      </c>
      <c r="G350">
        <f t="shared" si="138"/>
        <v>453</v>
      </c>
      <c r="H350">
        <f t="shared" si="141"/>
        <v>25.618028533872543</v>
      </c>
      <c r="J350">
        <v>0.8</v>
      </c>
      <c r="K350">
        <f t="shared" si="148"/>
        <v>1540956.1045768966</v>
      </c>
      <c r="L350">
        <f t="shared" si="142"/>
        <v>0.90788160556598019</v>
      </c>
      <c r="N350">
        <v>8</v>
      </c>
      <c r="O350">
        <f t="shared" si="145"/>
        <v>83809.023836256543</v>
      </c>
      <c r="P350">
        <f t="shared" si="143"/>
        <v>0.16916225026629203</v>
      </c>
      <c r="R350">
        <f t="shared" si="146"/>
        <v>83809.023836256543</v>
      </c>
      <c r="S350">
        <f t="shared" si="144"/>
        <v>0.16916225026629203</v>
      </c>
    </row>
    <row r="351" spans="6:19" x14ac:dyDescent="0.3">
      <c r="F351">
        <v>180</v>
      </c>
      <c r="G351">
        <f t="shared" si="138"/>
        <v>453</v>
      </c>
      <c r="H351">
        <f t="shared" si="141"/>
        <v>25.618028533872543</v>
      </c>
      <c r="J351">
        <v>0.9</v>
      </c>
      <c r="K351">
        <f t="shared" si="148"/>
        <v>932480.60268337023</v>
      </c>
      <c r="L351">
        <f t="shared" si="142"/>
        <v>0.85239686726968966</v>
      </c>
      <c r="N351">
        <v>9</v>
      </c>
      <c r="O351">
        <f t="shared" si="145"/>
        <v>46085.994617825403</v>
      </c>
      <c r="P351">
        <f t="shared" si="143"/>
        <v>3.9504113944718693E-2</v>
      </c>
      <c r="R351">
        <f t="shared" si="146"/>
        <v>46085.994617825403</v>
      </c>
      <c r="S351">
        <f t="shared" si="144"/>
        <v>3.9504113944718693E-2</v>
      </c>
    </row>
    <row r="352" spans="6:19" x14ac:dyDescent="0.3">
      <c r="F352">
        <v>180</v>
      </c>
      <c r="G352">
        <f t="shared" si="138"/>
        <v>453</v>
      </c>
      <c r="H352">
        <f t="shared" si="141"/>
        <v>25.618028533872543</v>
      </c>
      <c r="J352">
        <v>1</v>
      </c>
      <c r="K352">
        <f t="shared" si="148"/>
        <v>564273.0975905949</v>
      </c>
      <c r="L352">
        <f t="shared" si="142"/>
        <v>0.76803900332043251</v>
      </c>
      <c r="N352">
        <v>10</v>
      </c>
      <c r="O352">
        <f t="shared" si="145"/>
        <v>26992.299382199493</v>
      </c>
      <c r="P352">
        <f t="shared" si="143"/>
        <v>4.0173649141429279E-3</v>
      </c>
      <c r="R352">
        <f t="shared" si="146"/>
        <v>26992.299382199493</v>
      </c>
      <c r="S352">
        <f t="shared" si="144"/>
        <v>4.0173649141429279E-3</v>
      </c>
    </row>
    <row r="353" spans="6:19" x14ac:dyDescent="0.3">
      <c r="F353">
        <v>180</v>
      </c>
      <c r="G353">
        <f t="shared" si="138"/>
        <v>453</v>
      </c>
      <c r="H353">
        <f t="shared" si="141"/>
        <v>25.618028533872543</v>
      </c>
      <c r="J353">
        <v>1.1000000000000001</v>
      </c>
      <c r="K353">
        <f t="shared" si="148"/>
        <v>341459.25153641071</v>
      </c>
      <c r="L353">
        <f t="shared" si="142"/>
        <v>0.64653485141634237</v>
      </c>
      <c r="N353">
        <v>11</v>
      </c>
      <c r="O353">
        <f t="shared" si="145"/>
        <v>16636.909821748428</v>
      </c>
      <c r="P353">
        <f t="shared" si="143"/>
        <v>1.2958396154088428E-4</v>
      </c>
      <c r="R353">
        <f t="shared" si="146"/>
        <v>16636.909821748428</v>
      </c>
      <c r="S353">
        <f t="shared" si="144"/>
        <v>1.2958396154088428E-4</v>
      </c>
    </row>
    <row r="354" spans="6:19" x14ac:dyDescent="0.3">
      <c r="F354">
        <v>180</v>
      </c>
      <c r="G354">
        <f t="shared" si="138"/>
        <v>453</v>
      </c>
      <c r="H354">
        <f t="shared" si="141"/>
        <v>25.618028533872543</v>
      </c>
      <c r="J354">
        <v>1.2</v>
      </c>
      <c r="K354">
        <f t="shared" si="148"/>
        <v>206627.64352519304</v>
      </c>
      <c r="L354">
        <f t="shared" si="142"/>
        <v>0.48640350999408788</v>
      </c>
      <c r="N354">
        <v>12</v>
      </c>
      <c r="O354">
        <f t="shared" si="145"/>
        <v>10695.596821802164</v>
      </c>
      <c r="P354">
        <f t="shared" si="143"/>
        <v>8.9764902038762677E-7</v>
      </c>
      <c r="R354">
        <f t="shared" si="146"/>
        <v>10695.596821802164</v>
      </c>
      <c r="S354">
        <f t="shared" si="144"/>
        <v>8.9764902038762677E-7</v>
      </c>
    </row>
    <row r="355" spans="6:19" x14ac:dyDescent="0.3">
      <c r="F355">
        <v>180</v>
      </c>
      <c r="G355">
        <f t="shared" si="138"/>
        <v>453</v>
      </c>
      <c r="H355">
        <f t="shared" si="141"/>
        <v>25.618028533872543</v>
      </c>
      <c r="J355">
        <v>1.3</v>
      </c>
      <c r="K355">
        <f t="shared" si="148"/>
        <v>125036.83199874152</v>
      </c>
      <c r="L355">
        <f t="shared" si="142"/>
        <v>0.30391444076351676</v>
      </c>
      <c r="N355">
        <v>13</v>
      </c>
      <c r="O355">
        <f t="shared" si="145"/>
        <v>7123.6718435148077</v>
      </c>
      <c r="P355">
        <f t="shared" si="143"/>
        <v>8.3386509779961977E-10</v>
      </c>
      <c r="R355">
        <f t="shared" si="146"/>
        <v>7123.6718435148077</v>
      </c>
      <c r="S355">
        <f t="shared" si="144"/>
        <v>8.3386509779961977E-10</v>
      </c>
    </row>
    <row r="356" spans="6:19" x14ac:dyDescent="0.3">
      <c r="F356">
        <v>180</v>
      </c>
      <c r="G356">
        <f t="shared" si="138"/>
        <v>453</v>
      </c>
      <c r="H356">
        <f t="shared" si="141"/>
        <v>25.618028533872543</v>
      </c>
      <c r="J356">
        <v>1.4</v>
      </c>
      <c r="K356">
        <f t="shared" si="148"/>
        <v>75663.687053447618</v>
      </c>
      <c r="L356">
        <f t="shared" si="142"/>
        <v>0.13971044749693654</v>
      </c>
      <c r="N356">
        <v>14</v>
      </c>
      <c r="O356">
        <f t="shared" si="145"/>
        <v>4889.7808329148538</v>
      </c>
      <c r="P356">
        <f t="shared" si="143"/>
        <v>5.9348311622930642E-14</v>
      </c>
      <c r="R356">
        <f t="shared" si="146"/>
        <v>4889.7808329148538</v>
      </c>
      <c r="S356">
        <f t="shared" si="144"/>
        <v>5.9348311622930642E-14</v>
      </c>
    </row>
    <row r="357" spans="6:19" x14ac:dyDescent="0.3">
      <c r="F357">
        <v>180</v>
      </c>
      <c r="G357">
        <f t="shared" si="138"/>
        <v>453</v>
      </c>
      <c r="H357">
        <f t="shared" si="141"/>
        <v>25.618028533872543</v>
      </c>
      <c r="J357">
        <v>1.5</v>
      </c>
      <c r="K357">
        <f t="shared" si="148"/>
        <v>45786.457054347498</v>
      </c>
      <c r="L357">
        <f t="shared" si="142"/>
        <v>3.867777483858495E-2</v>
      </c>
      <c r="N357">
        <v>15</v>
      </c>
      <c r="O357">
        <f t="shared" si="145"/>
        <v>3444.7215618384607</v>
      </c>
      <c r="P357">
        <f t="shared" si="143"/>
        <v>1.6782576946560032E-19</v>
      </c>
      <c r="R357">
        <f t="shared" si="146"/>
        <v>3444.7215618384607</v>
      </c>
      <c r="S357">
        <f t="shared" si="144"/>
        <v>1.6782576946560032E-19</v>
      </c>
    </row>
    <row r="358" spans="6:19" x14ac:dyDescent="0.3">
      <c r="F358">
        <v>180</v>
      </c>
      <c r="G358">
        <f t="shared" si="138"/>
        <v>453</v>
      </c>
      <c r="H358">
        <f t="shared" si="141"/>
        <v>25.618028533872543</v>
      </c>
      <c r="J358">
        <v>1.6</v>
      </c>
      <c r="K358">
        <f t="shared" si="148"/>
        <v>27706.81328427398</v>
      </c>
      <c r="L358">
        <f t="shared" si="142"/>
        <v>4.6316076363538804E-3</v>
      </c>
      <c r="N358">
        <v>16</v>
      </c>
      <c r="O358">
        <f t="shared" si="145"/>
        <v>2482.2246394634203</v>
      </c>
      <c r="P358">
        <f t="shared" si="143"/>
        <v>8.804187545328587E-27</v>
      </c>
      <c r="R358">
        <f t="shared" si="146"/>
        <v>2482.2246394634203</v>
      </c>
      <c r="S358">
        <f t="shared" si="144"/>
        <v>8.804187545328587E-27</v>
      </c>
    </row>
    <row r="359" spans="6:19" x14ac:dyDescent="0.3">
      <c r="F359">
        <v>180</v>
      </c>
      <c r="G359">
        <f t="shared" si="138"/>
        <v>453</v>
      </c>
      <c r="H359">
        <f t="shared" si="141"/>
        <v>25.618028533872543</v>
      </c>
      <c r="J359">
        <v>1.7</v>
      </c>
      <c r="K359">
        <f t="shared" si="148"/>
        <v>16766.256918687046</v>
      </c>
      <c r="L359">
        <f t="shared" si="142"/>
        <v>1.3884871313081287E-4</v>
      </c>
      <c r="N359">
        <v>17</v>
      </c>
      <c r="O359">
        <f t="shared" si="145"/>
        <v>1824.5615932781327</v>
      </c>
      <c r="P359">
        <f t="shared" si="143"/>
        <v>3.5731817747029913E-36</v>
      </c>
      <c r="R359">
        <f t="shared" si="146"/>
        <v>1824.5615932781327</v>
      </c>
      <c r="S359">
        <f t="shared" si="144"/>
        <v>3.5731817747029913E-36</v>
      </c>
    </row>
    <row r="360" spans="6:19" x14ac:dyDescent="0.3">
      <c r="F360">
        <v>180</v>
      </c>
      <c r="G360">
        <f t="shared" si="138"/>
        <v>453</v>
      </c>
      <c r="H360">
        <f t="shared" si="141"/>
        <v>25.618028533872543</v>
      </c>
      <c r="J360">
        <v>1.8</v>
      </c>
      <c r="K360">
        <f t="shared" si="148"/>
        <v>10145.785016098318</v>
      </c>
      <c r="L360">
        <f t="shared" si="142"/>
        <v>4.2210298489772641E-7</v>
      </c>
      <c r="N360">
        <v>18</v>
      </c>
      <c r="O360">
        <f t="shared" si="145"/>
        <v>1364.9579262257973</v>
      </c>
      <c r="P360">
        <f t="shared" si="143"/>
        <v>4.1446588259680988E-48</v>
      </c>
      <c r="R360">
        <f t="shared" si="146"/>
        <v>1364.9579262257973</v>
      </c>
      <c r="S360">
        <f t="shared" si="144"/>
        <v>4.1446588259680988E-48</v>
      </c>
    </row>
    <row r="361" spans="6:19" x14ac:dyDescent="0.3">
      <c r="F361">
        <v>180</v>
      </c>
      <c r="G361">
        <f t="shared" si="138"/>
        <v>453</v>
      </c>
      <c r="H361">
        <f t="shared" si="141"/>
        <v>25.618028533872543</v>
      </c>
      <c r="J361">
        <v>1.9</v>
      </c>
      <c r="K361">
        <f t="shared" si="148"/>
        <v>6139.5309693814725</v>
      </c>
      <c r="L361">
        <f t="shared" si="142"/>
        <v>2.9227105824337782E-11</v>
      </c>
      <c r="N361">
        <v>19</v>
      </c>
      <c r="O361">
        <f t="shared" si="145"/>
        <v>1037.2808227312235</v>
      </c>
      <c r="P361">
        <f t="shared" si="143"/>
        <v>4.4601484155255518E-63</v>
      </c>
      <c r="R361">
        <f t="shared" si="146"/>
        <v>1037.2808227312235</v>
      </c>
      <c r="S361">
        <f t="shared" si="144"/>
        <v>4.4601484155255518E-63</v>
      </c>
    </row>
    <row r="362" spans="6:19" x14ac:dyDescent="0.3">
      <c r="F362">
        <v>180</v>
      </c>
      <c r="G362">
        <f t="shared" si="138"/>
        <v>453</v>
      </c>
      <c r="H362">
        <f t="shared" si="141"/>
        <v>25.618028533872543</v>
      </c>
      <c r="J362">
        <v>2</v>
      </c>
      <c r="K362">
        <f t="shared" si="148"/>
        <v>3715.2216870538114</v>
      </c>
      <c r="L362">
        <f t="shared" si="142"/>
        <v>3.9070645204172242E-18</v>
      </c>
      <c r="N362">
        <v>20</v>
      </c>
      <c r="O362">
        <f t="shared" si="145"/>
        <v>799.44792977392774</v>
      </c>
      <c r="P362">
        <f t="shared" si="143"/>
        <v>1.2596626940685817E-81</v>
      </c>
      <c r="R362">
        <f t="shared" si="146"/>
        <v>799.44792977392774</v>
      </c>
      <c r="S362">
        <f t="shared" si="144"/>
        <v>1.2596626940685817E-81</v>
      </c>
    </row>
    <row r="363" spans="6:19" x14ac:dyDescent="0.3">
      <c r="F363">
        <v>190</v>
      </c>
      <c r="G363">
        <f t="shared" si="138"/>
        <v>463</v>
      </c>
      <c r="H363">
        <f t="shared" si="141"/>
        <v>25.064723381953048</v>
      </c>
      <c r="J363">
        <v>0.1</v>
      </c>
      <c r="K363">
        <f t="shared" si="148"/>
        <v>38778522.28812144</v>
      </c>
      <c r="L363">
        <f t="shared" si="142"/>
        <v>0.99616709429850114</v>
      </c>
      <c r="N363">
        <v>1</v>
      </c>
      <c r="O363">
        <f t="shared" si="145"/>
        <v>2642924567.5259361</v>
      </c>
      <c r="P363">
        <f t="shared" si="143"/>
        <v>0.99994365491685411</v>
      </c>
      <c r="R363">
        <f t="shared" si="146"/>
        <v>38778522.28812144</v>
      </c>
      <c r="S363">
        <f t="shared" si="144"/>
        <v>0.99616709429850114</v>
      </c>
    </row>
    <row r="364" spans="6:19" x14ac:dyDescent="0.3">
      <c r="F364">
        <v>190</v>
      </c>
      <c r="G364">
        <f t="shared" si="138"/>
        <v>463</v>
      </c>
      <c r="H364">
        <f t="shared" si="141"/>
        <v>25.064723381953048</v>
      </c>
      <c r="J364">
        <v>0.2</v>
      </c>
      <c r="K364">
        <f t="shared" si="148"/>
        <v>23466093.373455685</v>
      </c>
      <c r="L364">
        <f t="shared" si="142"/>
        <v>0.99367391669089555</v>
      </c>
      <c r="N364">
        <v>2</v>
      </c>
      <c r="O364">
        <f t="shared" si="145"/>
        <v>78277161.35405013</v>
      </c>
      <c r="P364">
        <f t="shared" si="143"/>
        <v>0.99809933792623018</v>
      </c>
      <c r="R364">
        <f t="shared" si="146"/>
        <v>23466093.373455685</v>
      </c>
      <c r="S364">
        <f t="shared" si="144"/>
        <v>0.99367391669089555</v>
      </c>
    </row>
    <row r="365" spans="6:19" x14ac:dyDescent="0.3">
      <c r="F365">
        <v>190</v>
      </c>
      <c r="G365">
        <f t="shared" si="138"/>
        <v>463</v>
      </c>
      <c r="H365">
        <f t="shared" si="141"/>
        <v>25.064723381953048</v>
      </c>
      <c r="J365">
        <v>0.3</v>
      </c>
      <c r="K365">
        <f t="shared" ref="K365:K384" si="149">$C$7*EXP($C$5*H365)*EXP(-$C$6*J365)</f>
        <v>14200065.028790878</v>
      </c>
      <c r="L365">
        <f t="shared" si="142"/>
        <v>0.98956752382684043</v>
      </c>
      <c r="N365">
        <v>3</v>
      </c>
      <c r="O365">
        <f t="shared" si="145"/>
        <v>9989627.8452522196</v>
      </c>
      <c r="P365">
        <f t="shared" si="143"/>
        <v>0.98520310386292642</v>
      </c>
      <c r="R365">
        <f t="shared" si="146"/>
        <v>9989627.8452522196</v>
      </c>
      <c r="S365">
        <f t="shared" si="144"/>
        <v>0.98520310386292642</v>
      </c>
    </row>
    <row r="366" spans="6:19" x14ac:dyDescent="0.3">
      <c r="F366">
        <v>190</v>
      </c>
      <c r="G366">
        <f t="shared" ref="G366:G402" si="150">F366+273</f>
        <v>463</v>
      </c>
      <c r="H366">
        <f t="shared" si="141"/>
        <v>25.064723381953048</v>
      </c>
      <c r="J366">
        <v>0.4</v>
      </c>
      <c r="K366">
        <f t="shared" si="149"/>
        <v>8592902.2616939899</v>
      </c>
      <c r="L366">
        <f t="shared" si="142"/>
        <v>0.9828187284316986</v>
      </c>
      <c r="N366">
        <v>4</v>
      </c>
      <c r="O366">
        <f t="shared" si="145"/>
        <v>2318383.9845205387</v>
      </c>
      <c r="P366">
        <f t="shared" si="143"/>
        <v>0.93778515863048051</v>
      </c>
      <c r="R366">
        <f t="shared" si="146"/>
        <v>2318383.9845205387</v>
      </c>
      <c r="S366">
        <f t="shared" si="144"/>
        <v>0.93778515863048051</v>
      </c>
    </row>
    <row r="367" spans="6:19" x14ac:dyDescent="0.3">
      <c r="F367">
        <v>190</v>
      </c>
      <c r="G367">
        <f t="shared" si="150"/>
        <v>463</v>
      </c>
      <c r="H367">
        <f t="shared" si="141"/>
        <v>25.064723381953048</v>
      </c>
      <c r="J367">
        <v>0.5</v>
      </c>
      <c r="K367">
        <f t="shared" si="149"/>
        <v>5199833.1788845966</v>
      </c>
      <c r="L367">
        <f t="shared" si="142"/>
        <v>0.97176683953542931</v>
      </c>
      <c r="N367">
        <v>5</v>
      </c>
      <c r="O367">
        <f t="shared" si="145"/>
        <v>746679.91259913845</v>
      </c>
      <c r="P367">
        <f t="shared" si="143"/>
        <v>0.81918700288883017</v>
      </c>
      <c r="R367">
        <f t="shared" si="146"/>
        <v>746679.91259913845</v>
      </c>
      <c r="S367">
        <f t="shared" si="144"/>
        <v>0.81918700288883017</v>
      </c>
    </row>
    <row r="368" spans="6:19" x14ac:dyDescent="0.3">
      <c r="F368">
        <v>190</v>
      </c>
      <c r="G368">
        <f t="shared" si="150"/>
        <v>463</v>
      </c>
      <c r="H368">
        <f t="shared" si="141"/>
        <v>25.064723381953048</v>
      </c>
      <c r="J368">
        <v>0.6</v>
      </c>
      <c r="K368">
        <f t="shared" si="149"/>
        <v>3146581.2440067041</v>
      </c>
      <c r="L368">
        <f t="shared" si="142"/>
        <v>0.95377493172698558</v>
      </c>
      <c r="N368">
        <v>6</v>
      </c>
      <c r="O368">
        <f t="shared" si="145"/>
        <v>295869.09907221422</v>
      </c>
      <c r="P368">
        <f t="shared" si="143"/>
        <v>0.60451385012609093</v>
      </c>
      <c r="R368">
        <f t="shared" si="146"/>
        <v>295869.09907221422</v>
      </c>
      <c r="S368">
        <f t="shared" si="144"/>
        <v>0.60451385012609093</v>
      </c>
    </row>
    <row r="369" spans="6:19" x14ac:dyDescent="0.3">
      <c r="F369">
        <v>190</v>
      </c>
      <c r="G369">
        <f t="shared" si="150"/>
        <v>463</v>
      </c>
      <c r="H369">
        <f t="shared" si="141"/>
        <v>25.064723381953048</v>
      </c>
      <c r="J369">
        <v>0.7</v>
      </c>
      <c r="K369">
        <f t="shared" si="149"/>
        <v>1904094.4554414751</v>
      </c>
      <c r="L369">
        <f t="shared" si="142"/>
        <v>0.92476982915653816</v>
      </c>
      <c r="N369">
        <v>7</v>
      </c>
      <c r="O369">
        <f t="shared" si="145"/>
        <v>135264.546130426</v>
      </c>
      <c r="P369">
        <f t="shared" si="143"/>
        <v>0.33255378212527864</v>
      </c>
      <c r="R369">
        <f t="shared" si="146"/>
        <v>135264.546130426</v>
      </c>
      <c r="S369">
        <f t="shared" si="144"/>
        <v>0.33255378212527864</v>
      </c>
    </row>
    <row r="370" spans="6:19" x14ac:dyDescent="0.3">
      <c r="F370">
        <v>190</v>
      </c>
      <c r="G370">
        <f t="shared" si="150"/>
        <v>463</v>
      </c>
      <c r="H370">
        <f t="shared" si="141"/>
        <v>25.064723381953048</v>
      </c>
      <c r="J370">
        <v>0.8</v>
      </c>
      <c r="K370">
        <f t="shared" si="149"/>
        <v>1152226.9454026022</v>
      </c>
      <c r="L370">
        <f t="shared" si="142"/>
        <v>0.87875831654652647</v>
      </c>
      <c r="N370">
        <v>8</v>
      </c>
      <c r="O370">
        <f t="shared" si="145"/>
        <v>68665.038520884351</v>
      </c>
      <c r="P370">
        <f t="shared" si="143"/>
        <v>0.11431593684465795</v>
      </c>
      <c r="R370">
        <f t="shared" si="146"/>
        <v>68665.038520884351</v>
      </c>
      <c r="S370">
        <f t="shared" si="144"/>
        <v>0.11431593684465795</v>
      </c>
    </row>
    <row r="371" spans="6:19" x14ac:dyDescent="0.3">
      <c r="F371">
        <v>190</v>
      </c>
      <c r="G371">
        <f t="shared" si="150"/>
        <v>463</v>
      </c>
      <c r="H371">
        <f t="shared" si="141"/>
        <v>25.064723381953048</v>
      </c>
      <c r="J371">
        <v>0.9</v>
      </c>
      <c r="K371">
        <f t="shared" si="149"/>
        <v>697248.46365565062</v>
      </c>
      <c r="L371">
        <f t="shared" si="142"/>
        <v>0.80768560442039639</v>
      </c>
      <c r="N371">
        <v>9</v>
      </c>
      <c r="O371">
        <f t="shared" si="145"/>
        <v>37758.423268226397</v>
      </c>
      <c r="P371">
        <f t="shared" si="143"/>
        <v>1.9370177821313925E-2</v>
      </c>
      <c r="R371">
        <f t="shared" si="146"/>
        <v>37758.423268226397</v>
      </c>
      <c r="S371">
        <f t="shared" si="144"/>
        <v>1.9370177821313925E-2</v>
      </c>
    </row>
    <row r="372" spans="6:19" x14ac:dyDescent="0.3">
      <c r="F372">
        <v>190</v>
      </c>
      <c r="G372">
        <f t="shared" si="150"/>
        <v>463</v>
      </c>
      <c r="H372">
        <f t="shared" si="141"/>
        <v>25.064723381953048</v>
      </c>
      <c r="J372">
        <v>1</v>
      </c>
      <c r="K372">
        <f t="shared" si="149"/>
        <v>421926.79316338757</v>
      </c>
      <c r="L372">
        <f t="shared" si="142"/>
        <v>0.7026107605274029</v>
      </c>
      <c r="N372">
        <v>10</v>
      </c>
      <c r="O372">
        <f t="shared" si="145"/>
        <v>22114.889208913104</v>
      </c>
      <c r="P372">
        <f t="shared" si="143"/>
        <v>1.189853891542639E-3</v>
      </c>
      <c r="R372">
        <f t="shared" si="146"/>
        <v>22114.889208913104</v>
      </c>
      <c r="S372">
        <f t="shared" si="144"/>
        <v>1.189853891542639E-3</v>
      </c>
    </row>
    <row r="373" spans="6:19" x14ac:dyDescent="0.3">
      <c r="F373">
        <v>190</v>
      </c>
      <c r="G373">
        <f t="shared" si="150"/>
        <v>463</v>
      </c>
      <c r="H373">
        <f t="shared" si="141"/>
        <v>25.064723381953048</v>
      </c>
      <c r="J373">
        <v>1.1000000000000001</v>
      </c>
      <c r="K373">
        <f t="shared" si="149"/>
        <v>255321.06281851846</v>
      </c>
      <c r="L373">
        <f t="shared" si="142"/>
        <v>0.55807292910622608</v>
      </c>
      <c r="N373">
        <v>11</v>
      </c>
      <c r="O373">
        <f t="shared" si="145"/>
        <v>13630.680820370488</v>
      </c>
      <c r="P373">
        <f t="shared" si="143"/>
        <v>1.799614427661995E-5</v>
      </c>
      <c r="R373">
        <f t="shared" si="146"/>
        <v>13630.680820370488</v>
      </c>
      <c r="S373">
        <f t="shared" si="144"/>
        <v>1.799614427661995E-5</v>
      </c>
    </row>
    <row r="374" spans="6:19" x14ac:dyDescent="0.3">
      <c r="F374">
        <v>190</v>
      </c>
      <c r="G374">
        <f t="shared" si="150"/>
        <v>463</v>
      </c>
      <c r="H374">
        <f t="shared" si="141"/>
        <v>25.064723381953048</v>
      </c>
      <c r="J374">
        <v>1.2</v>
      </c>
      <c r="K374">
        <f t="shared" si="149"/>
        <v>154502.73880458236</v>
      </c>
      <c r="L374">
        <f t="shared" si="142"/>
        <v>0.3814153238249649</v>
      </c>
      <c r="N374">
        <v>12</v>
      </c>
      <c r="O374">
        <f t="shared" si="145"/>
        <v>8762.9414370434388</v>
      </c>
      <c r="P374">
        <f t="shared" si="143"/>
        <v>4.1636291929609163E-8</v>
      </c>
      <c r="R374">
        <f t="shared" si="146"/>
        <v>8762.9414370434388</v>
      </c>
      <c r="S374">
        <f t="shared" si="144"/>
        <v>4.1636291929609163E-8</v>
      </c>
    </row>
    <row r="375" spans="6:19" x14ac:dyDescent="0.3">
      <c r="F375">
        <v>190</v>
      </c>
      <c r="G375">
        <f t="shared" si="150"/>
        <v>463</v>
      </c>
      <c r="H375">
        <f t="shared" si="141"/>
        <v>25.064723381953048</v>
      </c>
      <c r="J375">
        <v>1.3</v>
      </c>
      <c r="K375">
        <f t="shared" si="149"/>
        <v>93494.426329740323</v>
      </c>
      <c r="L375">
        <f t="shared" si="142"/>
        <v>0.20335089951353366</v>
      </c>
      <c r="N375">
        <v>13</v>
      </c>
      <c r="O375">
        <f t="shared" si="145"/>
        <v>5836.4502908513059</v>
      </c>
      <c r="P375">
        <f t="shared" si="143"/>
        <v>8.2938319746247354E-12</v>
      </c>
      <c r="R375">
        <f t="shared" si="146"/>
        <v>5836.4502908513059</v>
      </c>
      <c r="S375">
        <f t="shared" si="144"/>
        <v>8.2938319746247354E-12</v>
      </c>
    </row>
    <row r="376" spans="6:19" x14ac:dyDescent="0.3">
      <c r="F376">
        <v>190</v>
      </c>
      <c r="G376">
        <f t="shared" si="150"/>
        <v>463</v>
      </c>
      <c r="H376">
        <f t="shared" si="141"/>
        <v>25.064723381953048</v>
      </c>
      <c r="J376">
        <v>1.4</v>
      </c>
      <c r="K376">
        <f t="shared" si="149"/>
        <v>56576.393547193249</v>
      </c>
      <c r="L376">
        <f t="shared" si="142"/>
        <v>7.1920550916820494E-2</v>
      </c>
      <c r="N376">
        <v>14</v>
      </c>
      <c r="O376">
        <f t="shared" si="145"/>
        <v>4006.2152484531011</v>
      </c>
      <c r="P376">
        <f t="shared" si="143"/>
        <v>7.1829147860517772E-17</v>
      </c>
      <c r="R376">
        <f t="shared" si="146"/>
        <v>4006.2152484531011</v>
      </c>
      <c r="S376">
        <f t="shared" si="144"/>
        <v>7.1829147860517772E-17</v>
      </c>
    </row>
    <row r="377" spans="6:19" x14ac:dyDescent="0.3">
      <c r="F377">
        <v>190</v>
      </c>
      <c r="G377">
        <f t="shared" si="150"/>
        <v>463</v>
      </c>
      <c r="H377">
        <f t="shared" si="141"/>
        <v>25.064723381953048</v>
      </c>
      <c r="J377">
        <v>1.5</v>
      </c>
      <c r="K377">
        <f t="shared" si="149"/>
        <v>34236.140403897924</v>
      </c>
      <c r="L377">
        <f t="shared" si="142"/>
        <v>1.2909531277420682E-2</v>
      </c>
      <c r="N377">
        <v>15</v>
      </c>
      <c r="O377">
        <f t="shared" si="145"/>
        <v>2822.2729237305939</v>
      </c>
      <c r="P377">
        <f t="shared" si="143"/>
        <v>1.2134602039471477E-23</v>
      </c>
      <c r="R377">
        <f t="shared" si="146"/>
        <v>2822.2729237305939</v>
      </c>
      <c r="S377">
        <f t="shared" si="144"/>
        <v>1.2134602039471477E-23</v>
      </c>
    </row>
    <row r="378" spans="6:19" x14ac:dyDescent="0.3">
      <c r="F378">
        <v>190</v>
      </c>
      <c r="G378">
        <f t="shared" si="150"/>
        <v>463</v>
      </c>
      <c r="H378">
        <f t="shared" si="141"/>
        <v>25.064723381953048</v>
      </c>
      <c r="J378">
        <v>1.6</v>
      </c>
      <c r="K378">
        <f t="shared" si="149"/>
        <v>20717.356414344347</v>
      </c>
      <c r="L378">
        <f t="shared" si="142"/>
        <v>7.5546598596423992E-4</v>
      </c>
      <c r="N378">
        <v>16</v>
      </c>
      <c r="O378">
        <f t="shared" si="145"/>
        <v>2033.6956891330506</v>
      </c>
      <c r="P378">
        <f t="shared" si="143"/>
        <v>1.5784260951292226E-32</v>
      </c>
      <c r="R378">
        <f t="shared" si="146"/>
        <v>2033.6956891330506</v>
      </c>
      <c r="S378">
        <f t="shared" si="144"/>
        <v>1.5784260951292226E-32</v>
      </c>
    </row>
    <row r="379" spans="6:19" x14ac:dyDescent="0.3">
      <c r="F379">
        <v>190</v>
      </c>
      <c r="G379">
        <f t="shared" si="150"/>
        <v>463</v>
      </c>
      <c r="H379">
        <f t="shared" si="141"/>
        <v>25.064723381953048</v>
      </c>
      <c r="J379">
        <v>1.7</v>
      </c>
      <c r="K379">
        <f t="shared" si="149"/>
        <v>12536.718559259902</v>
      </c>
      <c r="L379">
        <f t="shared" si="142"/>
        <v>6.936546838554158E-6</v>
      </c>
      <c r="N379">
        <v>17</v>
      </c>
      <c r="O379">
        <f t="shared" si="145"/>
        <v>1494.8699597187085</v>
      </c>
      <c r="P379">
        <f t="shared" si="143"/>
        <v>5.4359734041434592E-44</v>
      </c>
      <c r="R379">
        <f t="shared" si="146"/>
        <v>1494.8699597187085</v>
      </c>
      <c r="S379">
        <f t="shared" si="144"/>
        <v>5.4359734041434592E-44</v>
      </c>
    </row>
    <row r="380" spans="6:19" x14ac:dyDescent="0.3">
      <c r="F380">
        <v>190</v>
      </c>
      <c r="G380">
        <f t="shared" si="150"/>
        <v>463</v>
      </c>
      <c r="H380">
        <f t="shared" si="141"/>
        <v>25.064723381953048</v>
      </c>
      <c r="J380">
        <v>1.8</v>
      </c>
      <c r="K380">
        <f t="shared" si="149"/>
        <v>7586.3594317115676</v>
      </c>
      <c r="L380">
        <f t="shared" si="142"/>
        <v>2.9840961347180906E-9</v>
      </c>
      <c r="N380">
        <v>18</v>
      </c>
      <c r="O380">
        <f t="shared" si="145"/>
        <v>1118.3150011005685</v>
      </c>
      <c r="P380">
        <f t="shared" si="143"/>
        <v>1.4700675980007176E-58</v>
      </c>
      <c r="R380">
        <f t="shared" si="146"/>
        <v>1118.3150011005685</v>
      </c>
      <c r="S380">
        <f t="shared" si="144"/>
        <v>1.4700675980007176E-58</v>
      </c>
    </row>
    <row r="381" spans="6:19" x14ac:dyDescent="0.3">
      <c r="F381">
        <v>190</v>
      </c>
      <c r="G381">
        <f t="shared" si="150"/>
        <v>463</v>
      </c>
      <c r="H381">
        <f t="shared" si="141"/>
        <v>25.064723381953048</v>
      </c>
      <c r="J381">
        <v>1.9</v>
      </c>
      <c r="K381">
        <f t="shared" si="149"/>
        <v>4590.7427174880168</v>
      </c>
      <c r="L381">
        <f t="shared" si="142"/>
        <v>8.1627490403012555E-15</v>
      </c>
      <c r="N381">
        <v>19</v>
      </c>
      <c r="O381">
        <f t="shared" si="145"/>
        <v>849.84795657531004</v>
      </c>
      <c r="P381">
        <f t="shared" si="143"/>
        <v>7.906678015964164E-77</v>
      </c>
      <c r="R381">
        <f t="shared" si="146"/>
        <v>849.84795657531004</v>
      </c>
      <c r="S381">
        <f t="shared" si="144"/>
        <v>7.906678015964164E-77</v>
      </c>
    </row>
    <row r="382" spans="6:19" x14ac:dyDescent="0.3">
      <c r="F382">
        <v>190</v>
      </c>
      <c r="G382">
        <f t="shared" si="150"/>
        <v>463</v>
      </c>
      <c r="H382">
        <f t="shared" si="141"/>
        <v>25.064723381953048</v>
      </c>
      <c r="J382">
        <v>2</v>
      </c>
      <c r="K382">
        <f t="shared" si="149"/>
        <v>2778.001607737488</v>
      </c>
      <c r="L382">
        <f t="shared" si="142"/>
        <v>5.2339267510374958E-24</v>
      </c>
      <c r="N382">
        <v>20</v>
      </c>
      <c r="O382">
        <f t="shared" si="145"/>
        <v>654.99060101950863</v>
      </c>
      <c r="P382">
        <f t="shared" si="143"/>
        <v>1.8110069720290192E-99</v>
      </c>
      <c r="R382">
        <f t="shared" si="146"/>
        <v>654.99060101950863</v>
      </c>
      <c r="S382">
        <f t="shared" si="144"/>
        <v>1.8110069720290192E-99</v>
      </c>
    </row>
    <row r="383" spans="6:19" x14ac:dyDescent="0.3">
      <c r="F383">
        <v>200</v>
      </c>
      <c r="G383">
        <f t="shared" si="150"/>
        <v>473</v>
      </c>
      <c r="H383">
        <f t="shared" si="141"/>
        <v>24.534813796710914</v>
      </c>
      <c r="J383">
        <v>0.1</v>
      </c>
      <c r="K383">
        <f t="shared" si="149"/>
        <v>29354681.749101602</v>
      </c>
      <c r="L383">
        <f t="shared" si="142"/>
        <v>0.99493972054342461</v>
      </c>
      <c r="N383">
        <v>1</v>
      </c>
      <c r="O383">
        <f t="shared" si="145"/>
        <v>2183682478.7733307</v>
      </c>
      <c r="P383">
        <f t="shared" si="143"/>
        <v>0.99993180559736383</v>
      </c>
      <c r="R383">
        <f t="shared" si="146"/>
        <v>29354681.749101602</v>
      </c>
      <c r="S383">
        <f t="shared" si="144"/>
        <v>0.99493972054342461</v>
      </c>
    </row>
    <row r="384" spans="6:19" x14ac:dyDescent="0.3">
      <c r="F384">
        <v>200</v>
      </c>
      <c r="G384">
        <f t="shared" si="150"/>
        <v>473</v>
      </c>
      <c r="H384">
        <f t="shared" si="141"/>
        <v>24.534813796710914</v>
      </c>
      <c r="J384">
        <v>0.2</v>
      </c>
      <c r="K384">
        <f t="shared" si="149"/>
        <v>17763433.525250591</v>
      </c>
      <c r="L384">
        <f t="shared" si="142"/>
        <v>0.99165152930079881</v>
      </c>
      <c r="N384">
        <v>2</v>
      </c>
      <c r="O384">
        <f t="shared" si="145"/>
        <v>64675499.194047555</v>
      </c>
      <c r="P384">
        <f t="shared" si="143"/>
        <v>0.99770007678563022</v>
      </c>
      <c r="R384">
        <f t="shared" si="146"/>
        <v>17763433.525250591</v>
      </c>
      <c r="S384">
        <f t="shared" si="144"/>
        <v>0.99165152930079881</v>
      </c>
    </row>
    <row r="385" spans="6:19" x14ac:dyDescent="0.3">
      <c r="F385">
        <v>200</v>
      </c>
      <c r="G385">
        <f t="shared" si="150"/>
        <v>473</v>
      </c>
      <c r="H385">
        <f t="shared" si="141"/>
        <v>24.534813796710914</v>
      </c>
      <c r="J385">
        <v>0.3</v>
      </c>
      <c r="K385">
        <f t="shared" ref="K385:K402" si="151">$C$7*EXP($C$5*H385)*EXP(-$C$6*J385)</f>
        <v>10749207.683563244</v>
      </c>
      <c r="L385">
        <f t="shared" si="142"/>
        <v>0.98624148127259992</v>
      </c>
      <c r="N385">
        <v>3</v>
      </c>
      <c r="O385">
        <f t="shared" si="145"/>
        <v>8253801.7025449527</v>
      </c>
      <c r="P385">
        <f t="shared" si="143"/>
        <v>0.98211919825827565</v>
      </c>
      <c r="R385">
        <f t="shared" si="146"/>
        <v>8253801.7025449527</v>
      </c>
      <c r="S385">
        <f t="shared" si="144"/>
        <v>0.98211919825827565</v>
      </c>
    </row>
    <row r="386" spans="6:19" x14ac:dyDescent="0.3">
      <c r="F386">
        <v>200</v>
      </c>
      <c r="G386">
        <f t="shared" si="150"/>
        <v>473</v>
      </c>
      <c r="H386">
        <f t="shared" si="141"/>
        <v>24.534813796710914</v>
      </c>
      <c r="J386">
        <v>0.4</v>
      </c>
      <c r="K386">
        <f t="shared" si="151"/>
        <v>6504680.8467590492</v>
      </c>
      <c r="L386">
        <f t="shared" si="142"/>
        <v>0.97736580311306398</v>
      </c>
      <c r="N386">
        <v>4</v>
      </c>
      <c r="O386">
        <f t="shared" si="145"/>
        <v>1915534.990393372</v>
      </c>
      <c r="P386">
        <f t="shared" si="143"/>
        <v>0.92520190090485388</v>
      </c>
      <c r="R386">
        <f t="shared" si="146"/>
        <v>1915534.990393372</v>
      </c>
      <c r="S386">
        <f t="shared" si="144"/>
        <v>0.92520190090485388</v>
      </c>
    </row>
    <row r="387" spans="6:19" x14ac:dyDescent="0.3">
      <c r="F387">
        <v>200</v>
      </c>
      <c r="G387">
        <f t="shared" si="150"/>
        <v>473</v>
      </c>
      <c r="H387">
        <f t="shared" ref="H387:H402" si="152">1/($B$18*G387)</f>
        <v>24.534813796710914</v>
      </c>
      <c r="J387">
        <v>0.5</v>
      </c>
      <c r="K387">
        <f t="shared" si="151"/>
        <v>3936185.2672073804</v>
      </c>
      <c r="L387">
        <f t="shared" ref="L387:L402" si="153">EXP(-$B$22/K387)</f>
        <v>0.96287316406795143</v>
      </c>
      <c r="N387">
        <v>5</v>
      </c>
      <c r="O387">
        <f t="shared" si="145"/>
        <v>616934.6875915858</v>
      </c>
      <c r="P387">
        <f t="shared" ref="P387:P402" si="154">EXP(-$B$22/O387)</f>
        <v>0.78553758162367526</v>
      </c>
      <c r="R387">
        <f t="shared" si="146"/>
        <v>616934.6875915858</v>
      </c>
      <c r="S387">
        <f t="shared" ref="S387:S402" si="155">EXP(-$B$22/R387)</f>
        <v>0.78553758162367526</v>
      </c>
    </row>
    <row r="388" spans="6:19" x14ac:dyDescent="0.3">
      <c r="F388">
        <v>200</v>
      </c>
      <c r="G388">
        <f t="shared" si="150"/>
        <v>473</v>
      </c>
      <c r="H388">
        <f t="shared" si="152"/>
        <v>24.534813796710914</v>
      </c>
      <c r="J388">
        <v>0.6</v>
      </c>
      <c r="K388">
        <f t="shared" si="151"/>
        <v>2381908.4783383468</v>
      </c>
      <c r="L388">
        <f t="shared" si="153"/>
        <v>0.93939305926537664</v>
      </c>
      <c r="N388">
        <v>6</v>
      </c>
      <c r="O388">
        <f t="shared" ref="O388:O402" si="156">$C$11*POWER(N388,-$C$10)*EXP($C$9*H388)</f>
        <v>244458.04303043341</v>
      </c>
      <c r="P388">
        <f t="shared" si="154"/>
        <v>0.54379426524623609</v>
      </c>
      <c r="R388">
        <f t="shared" ref="R388:R402" si="157">MIN(K388,O388)</f>
        <v>244458.04303043341</v>
      </c>
      <c r="S388">
        <f t="shared" si="155"/>
        <v>0.54379426524623609</v>
      </c>
    </row>
    <row r="389" spans="6:19" x14ac:dyDescent="0.3">
      <c r="F389">
        <v>200</v>
      </c>
      <c r="G389">
        <f t="shared" si="150"/>
        <v>473</v>
      </c>
      <c r="H389">
        <f t="shared" si="152"/>
        <v>24.534813796710914</v>
      </c>
      <c r="J389">
        <v>0.7</v>
      </c>
      <c r="K389">
        <f t="shared" si="151"/>
        <v>1441367.1141057068</v>
      </c>
      <c r="L389">
        <f t="shared" si="153"/>
        <v>0.901839621827774</v>
      </c>
      <c r="N389">
        <v>7</v>
      </c>
      <c r="O389">
        <f t="shared" si="156"/>
        <v>111760.59393202471</v>
      </c>
      <c r="P389">
        <f t="shared" si="154"/>
        <v>0.26381923424716042</v>
      </c>
      <c r="R389">
        <f t="shared" si="157"/>
        <v>111760.59393202471</v>
      </c>
      <c r="S389">
        <f t="shared" si="155"/>
        <v>0.26381923424716042</v>
      </c>
    </row>
    <row r="390" spans="6:19" x14ac:dyDescent="0.3">
      <c r="F390">
        <v>200</v>
      </c>
      <c r="G390">
        <f t="shared" si="150"/>
        <v>473</v>
      </c>
      <c r="H390">
        <f t="shared" si="152"/>
        <v>24.534813796710914</v>
      </c>
      <c r="J390">
        <v>0.8</v>
      </c>
      <c r="K390">
        <f t="shared" si="151"/>
        <v>872216.19827926054</v>
      </c>
      <c r="L390">
        <f t="shared" si="153"/>
        <v>0.84304285588878247</v>
      </c>
      <c r="N390">
        <v>8</v>
      </c>
      <c r="O390">
        <f t="shared" si="156"/>
        <v>56733.606159147232</v>
      </c>
      <c r="P390">
        <f t="shared" si="154"/>
        <v>7.2447056035542787E-2</v>
      </c>
      <c r="R390">
        <f t="shared" si="157"/>
        <v>56733.606159147232</v>
      </c>
      <c r="S390">
        <f t="shared" si="155"/>
        <v>7.2447056035542787E-2</v>
      </c>
    </row>
    <row r="391" spans="6:19" x14ac:dyDescent="0.3">
      <c r="F391">
        <v>200</v>
      </c>
      <c r="G391">
        <f t="shared" si="150"/>
        <v>473</v>
      </c>
      <c r="H391">
        <f t="shared" si="152"/>
        <v>24.534813796710914</v>
      </c>
      <c r="J391">
        <v>0.9</v>
      </c>
      <c r="K391">
        <f t="shared" si="151"/>
        <v>527805.22678480775</v>
      </c>
      <c r="L391">
        <f t="shared" si="153"/>
        <v>0.75416090166139071</v>
      </c>
      <c r="N391">
        <v>9</v>
      </c>
      <c r="O391">
        <f t="shared" si="156"/>
        <v>31197.412264443712</v>
      </c>
      <c r="P391">
        <f t="shared" si="154"/>
        <v>8.4509802698938836E-3</v>
      </c>
      <c r="R391">
        <f t="shared" si="157"/>
        <v>31197.412264443712</v>
      </c>
      <c r="S391">
        <f t="shared" si="155"/>
        <v>8.4509802698938836E-3</v>
      </c>
    </row>
    <row r="392" spans="6:19" x14ac:dyDescent="0.3">
      <c r="F392">
        <v>200</v>
      </c>
      <c r="G392">
        <f t="shared" si="150"/>
        <v>473</v>
      </c>
      <c r="H392">
        <f t="shared" si="152"/>
        <v>24.534813796710914</v>
      </c>
      <c r="J392">
        <v>1</v>
      </c>
      <c r="K392">
        <f t="shared" si="151"/>
        <v>319391.4054462093</v>
      </c>
      <c r="L392">
        <f t="shared" si="153"/>
        <v>0.6273430469429313</v>
      </c>
      <c r="N392">
        <v>10</v>
      </c>
      <c r="O392">
        <f t="shared" si="156"/>
        <v>18272.143170065348</v>
      </c>
      <c r="P392">
        <f t="shared" si="154"/>
        <v>2.8870323347505398E-4</v>
      </c>
      <c r="R392">
        <f t="shared" si="157"/>
        <v>18272.143170065348</v>
      </c>
      <c r="S392">
        <f t="shared" si="155"/>
        <v>2.8870323347505398E-4</v>
      </c>
    </row>
    <row r="393" spans="6:19" x14ac:dyDescent="0.3">
      <c r="F393">
        <v>200</v>
      </c>
      <c r="G393">
        <f t="shared" si="150"/>
        <v>473</v>
      </c>
      <c r="H393">
        <f t="shared" si="152"/>
        <v>24.534813796710914</v>
      </c>
      <c r="J393">
        <v>1.1000000000000001</v>
      </c>
      <c r="K393">
        <f t="shared" si="151"/>
        <v>193273.7015400868</v>
      </c>
      <c r="L393">
        <f t="shared" si="153"/>
        <v>0.46277536311131218</v>
      </c>
      <c r="N393">
        <v>11</v>
      </c>
      <c r="O393">
        <f t="shared" si="156"/>
        <v>11262.174958348533</v>
      </c>
      <c r="P393">
        <f t="shared" si="154"/>
        <v>1.8084812870841871E-6</v>
      </c>
      <c r="R393">
        <f t="shared" si="157"/>
        <v>11262.174958348533</v>
      </c>
      <c r="S393">
        <f t="shared" si="155"/>
        <v>1.8084812870841871E-6</v>
      </c>
    </row>
    <row r="394" spans="6:19" x14ac:dyDescent="0.3">
      <c r="F394">
        <v>200</v>
      </c>
      <c r="G394">
        <f t="shared" si="150"/>
        <v>473</v>
      </c>
      <c r="H394">
        <f t="shared" si="152"/>
        <v>24.534813796710914</v>
      </c>
      <c r="J394">
        <v>1.2</v>
      </c>
      <c r="K394">
        <f t="shared" si="151"/>
        <v>116955.94518211835</v>
      </c>
      <c r="L394">
        <f t="shared" si="153"/>
        <v>0.27990641684129208</v>
      </c>
      <c r="N394">
        <v>12</v>
      </c>
      <c r="O394">
        <f t="shared" si="156"/>
        <v>7240.2678130543227</v>
      </c>
      <c r="P394">
        <f t="shared" si="154"/>
        <v>1.1676181450862299E-9</v>
      </c>
      <c r="R394">
        <f t="shared" si="157"/>
        <v>7240.2678130543227</v>
      </c>
      <c r="S394">
        <f t="shared" si="155"/>
        <v>1.1676181450862299E-9</v>
      </c>
    </row>
    <row r="395" spans="6:19" x14ac:dyDescent="0.3">
      <c r="F395">
        <v>200</v>
      </c>
      <c r="G395">
        <f t="shared" si="150"/>
        <v>473</v>
      </c>
      <c r="H395">
        <f t="shared" si="152"/>
        <v>24.534813796710914</v>
      </c>
      <c r="J395">
        <v>1.3</v>
      </c>
      <c r="K395">
        <f t="shared" si="151"/>
        <v>70773.690390596501</v>
      </c>
      <c r="L395">
        <f t="shared" si="153"/>
        <v>0.12194663468977042</v>
      </c>
      <c r="N395">
        <v>13</v>
      </c>
      <c r="O395">
        <f t="shared" si="156"/>
        <v>4822.2920907251491</v>
      </c>
      <c r="P395">
        <f t="shared" si="154"/>
        <v>3.875253542707535E-14</v>
      </c>
      <c r="R395">
        <f t="shared" si="157"/>
        <v>4822.2920907251491</v>
      </c>
      <c r="S395">
        <f t="shared" si="155"/>
        <v>3.875253542707535E-14</v>
      </c>
    </row>
    <row r="396" spans="6:19" x14ac:dyDescent="0.3">
      <c r="F396">
        <v>200</v>
      </c>
      <c r="G396">
        <f t="shared" si="150"/>
        <v>473</v>
      </c>
      <c r="H396">
        <f t="shared" si="152"/>
        <v>24.534813796710914</v>
      </c>
      <c r="J396">
        <v>1.4</v>
      </c>
      <c r="K396">
        <f t="shared" si="151"/>
        <v>42827.367550271782</v>
      </c>
      <c r="L396">
        <f t="shared" si="153"/>
        <v>3.0893303907346056E-2</v>
      </c>
      <c r="N396">
        <v>14</v>
      </c>
      <c r="O396">
        <f t="shared" si="156"/>
        <v>3310.0838940821309</v>
      </c>
      <c r="P396">
        <f t="shared" si="154"/>
        <v>2.8918764999490763E-20</v>
      </c>
      <c r="R396">
        <f t="shared" si="157"/>
        <v>3310.0838940821309</v>
      </c>
      <c r="S396">
        <f t="shared" si="155"/>
        <v>2.8918764999490763E-20</v>
      </c>
    </row>
    <row r="397" spans="6:19" x14ac:dyDescent="0.3">
      <c r="F397">
        <v>200</v>
      </c>
      <c r="G397">
        <f t="shared" si="150"/>
        <v>473</v>
      </c>
      <c r="H397">
        <f t="shared" si="152"/>
        <v>24.534813796710914</v>
      </c>
      <c r="J397">
        <v>1.5</v>
      </c>
      <c r="K397">
        <f t="shared" si="151"/>
        <v>25916.175928700337</v>
      </c>
      <c r="L397">
        <f t="shared" si="153"/>
        <v>3.1948404471189682E-3</v>
      </c>
      <c r="N397">
        <v>15</v>
      </c>
      <c r="O397">
        <f t="shared" si="156"/>
        <v>2331.8667545763769</v>
      </c>
      <c r="P397">
        <f t="shared" si="154"/>
        <v>1.8393006386413049E-28</v>
      </c>
      <c r="R397">
        <f t="shared" si="157"/>
        <v>2331.8667545763769</v>
      </c>
      <c r="S397">
        <f t="shared" si="155"/>
        <v>1.8393006386413049E-28</v>
      </c>
    </row>
    <row r="398" spans="6:19" x14ac:dyDescent="0.3">
      <c r="F398">
        <v>200</v>
      </c>
      <c r="G398">
        <f t="shared" si="150"/>
        <v>473</v>
      </c>
      <c r="H398">
        <f t="shared" si="152"/>
        <v>24.534813796710914</v>
      </c>
      <c r="J398">
        <v>1.6</v>
      </c>
      <c r="K398">
        <f t="shared" si="151"/>
        <v>15682.686403243239</v>
      </c>
      <c r="L398">
        <f t="shared" si="153"/>
        <v>7.5165208170580589E-5</v>
      </c>
      <c r="N398">
        <v>16</v>
      </c>
      <c r="O398">
        <f t="shared" si="156"/>
        <v>1680.314942803647</v>
      </c>
      <c r="P398">
        <f t="shared" si="154"/>
        <v>3.2367698968409937E-39</v>
      </c>
      <c r="R398">
        <f t="shared" si="157"/>
        <v>1680.314942803647</v>
      </c>
      <c r="S398">
        <f t="shared" si="155"/>
        <v>3.2367698968409937E-39</v>
      </c>
    </row>
    <row r="399" spans="6:19" x14ac:dyDescent="0.3">
      <c r="F399">
        <v>200</v>
      </c>
      <c r="G399">
        <f t="shared" si="150"/>
        <v>473</v>
      </c>
      <c r="H399">
        <f t="shared" si="152"/>
        <v>24.534813796710914</v>
      </c>
      <c r="J399">
        <v>1.7</v>
      </c>
      <c r="K399">
        <f t="shared" si="151"/>
        <v>9490.08269966642</v>
      </c>
      <c r="L399">
        <f t="shared" si="153"/>
        <v>1.5310054960652985E-7</v>
      </c>
      <c r="N399">
        <v>17</v>
      </c>
      <c r="O399">
        <f t="shared" si="156"/>
        <v>1235.1171044348409</v>
      </c>
      <c r="P399">
        <f t="shared" si="154"/>
        <v>4.3294769686515867E-53</v>
      </c>
      <c r="R399">
        <f t="shared" si="157"/>
        <v>1235.1171044348409</v>
      </c>
      <c r="S399">
        <f t="shared" si="155"/>
        <v>4.3294769686515867E-53</v>
      </c>
    </row>
    <row r="400" spans="6:19" x14ac:dyDescent="0.3">
      <c r="F400">
        <v>200</v>
      </c>
      <c r="G400">
        <f t="shared" si="150"/>
        <v>473</v>
      </c>
      <c r="H400">
        <f t="shared" si="152"/>
        <v>24.534813796710914</v>
      </c>
      <c r="J400">
        <v>1.8</v>
      </c>
      <c r="K400">
        <f t="shared" si="151"/>
        <v>5742.7450457647765</v>
      </c>
      <c r="L400">
        <f t="shared" si="153"/>
        <v>5.4694149705944206E-12</v>
      </c>
      <c r="N400">
        <v>18</v>
      </c>
      <c r="O400">
        <f t="shared" si="156"/>
        <v>923.99340626611524</v>
      </c>
      <c r="P400">
        <f t="shared" si="154"/>
        <v>1.011035668241552E-70</v>
      </c>
      <c r="R400">
        <f t="shared" si="157"/>
        <v>923.99340626611524</v>
      </c>
      <c r="S400">
        <f t="shared" si="155"/>
        <v>1.011035668241552E-70</v>
      </c>
    </row>
    <row r="401" spans="6:19" x14ac:dyDescent="0.3">
      <c r="F401">
        <v>200</v>
      </c>
      <c r="G401">
        <f t="shared" si="150"/>
        <v>473</v>
      </c>
      <c r="H401">
        <f t="shared" si="152"/>
        <v>24.534813796710914</v>
      </c>
      <c r="J401">
        <v>1.9</v>
      </c>
      <c r="K401">
        <f t="shared" si="151"/>
        <v>3475.1141485642925</v>
      </c>
      <c r="L401">
        <f t="shared" si="153"/>
        <v>2.4494124361565859E-19</v>
      </c>
      <c r="N401">
        <v>19</v>
      </c>
      <c r="O401">
        <f t="shared" si="156"/>
        <v>702.17595885910998</v>
      </c>
      <c r="P401">
        <f t="shared" si="154"/>
        <v>7.8210673680690667E-93</v>
      </c>
      <c r="R401">
        <f t="shared" si="157"/>
        <v>702.17595885910998</v>
      </c>
      <c r="S401">
        <f t="shared" si="155"/>
        <v>7.8210673680690667E-93</v>
      </c>
    </row>
    <row r="402" spans="6:19" x14ac:dyDescent="0.3">
      <c r="F402">
        <v>200</v>
      </c>
      <c r="G402">
        <f t="shared" si="150"/>
        <v>473</v>
      </c>
      <c r="H402">
        <f t="shared" si="152"/>
        <v>24.534813796710914</v>
      </c>
      <c r="J402">
        <v>2</v>
      </c>
      <c r="K402">
        <f t="shared" si="151"/>
        <v>2102.8999632254158</v>
      </c>
      <c r="L402">
        <f t="shared" si="153"/>
        <v>1.7570655785800454E-31</v>
      </c>
      <c r="N402">
        <v>20</v>
      </c>
      <c r="O402">
        <f t="shared" si="156"/>
        <v>541.17757153637649</v>
      </c>
      <c r="P402">
        <f t="shared" si="154"/>
        <v>3.1034366692225465E-120</v>
      </c>
      <c r="R402">
        <f t="shared" si="157"/>
        <v>541.17757153637649</v>
      </c>
      <c r="S402">
        <f t="shared" si="155"/>
        <v>3.1034366692225465E-120</v>
      </c>
    </row>
  </sheetData>
  <phoneticPr fontId="6" type="noConversion"/>
  <conditionalFormatting sqref="L3:L402">
    <cfRule type="cellIs" dxfId="8" priority="7" operator="lessThan">
      <formula>0.9921</formula>
    </cfRule>
  </conditionalFormatting>
  <conditionalFormatting sqref="M1">
    <cfRule type="cellIs" dxfId="7" priority="17" operator="lessThan">
      <formula>0.9912</formula>
    </cfRule>
  </conditionalFormatting>
  <conditionalFormatting sqref="P3:P402">
    <cfRule type="cellIs" dxfId="6" priority="15" operator="lessThan">
      <formula>0.9912</formula>
    </cfRule>
  </conditionalFormatting>
  <conditionalFormatting sqref="S3:S402">
    <cfRule type="cellIs" dxfId="5" priority="6" operator="lessThan">
      <formula>0.9921</formula>
    </cfRule>
  </conditionalFormatting>
  <conditionalFormatting sqref="AX10:BQ29">
    <cfRule type="cellIs" dxfId="4" priority="5" operator="lessThan">
      <formula>0.9921</formula>
    </cfRule>
  </conditionalFormatting>
  <conditionalFormatting sqref="AX37:BQ56">
    <cfRule type="cellIs" dxfId="3" priority="4" operator="lessThan">
      <formula>0.9921</formula>
    </cfRule>
  </conditionalFormatting>
  <conditionalFormatting sqref="AX71:BQ90">
    <cfRule type="cellIs" dxfId="2" priority="2" operator="greaterThan">
      <formula>0.9921</formula>
    </cfRule>
    <cfRule type="cellIs" dxfId="1" priority="3" operator="lessThan">
      <formula>0.9921</formula>
    </cfRule>
  </conditionalFormatting>
  <conditionalFormatting sqref="AX94:BQ113">
    <cfRule type="cellIs" dxfId="0" priority="1" operator="equal">
      <formula>1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Silicon_TTF</vt:lpstr>
      <vt:lpstr>GaN_Rds</vt:lpstr>
      <vt:lpstr>Reliability R(t)</vt:lpstr>
      <vt:lpstr>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TZURIEL</dc:creator>
  <cp:lastModifiedBy>סמואל ניומן</cp:lastModifiedBy>
  <dcterms:created xsi:type="dcterms:W3CDTF">2025-06-10T08:23:08Z</dcterms:created>
  <dcterms:modified xsi:type="dcterms:W3CDTF">2025-07-25T09:31:53Z</dcterms:modified>
</cp:coreProperties>
</file>